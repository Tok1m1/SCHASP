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Учебный план\"/>
    </mc:Choice>
  </mc:AlternateContent>
  <bookViews>
    <workbookView xWindow="0" yWindow="0" windowWidth="28800" windowHeight="11730" tabRatio="500"/>
  </bookViews>
  <sheets>
    <sheet name="Лист1" sheetId="1" r:id="rId1"/>
  </sheets>
  <definedNames>
    <definedName name="_xlnm.Print_Area" localSheetId="0">Лист1!$A$1:$CW$67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H62" i="1" l="1"/>
  <c r="CR62" i="1" s="1"/>
  <c r="BH61" i="1"/>
  <c r="CR61" i="1" s="1"/>
  <c r="BH52" i="1"/>
  <c r="CR52" i="1" s="1"/>
  <c r="BH51" i="1"/>
  <c r="CR51" i="1" s="1"/>
  <c r="BH50" i="1"/>
  <c r="CR50" i="1" s="1"/>
  <c r="BH49" i="1"/>
  <c r="CR49" i="1" s="1"/>
  <c r="BH48" i="1"/>
  <c r="CR48" i="1" s="1"/>
  <c r="BH47" i="1"/>
  <c r="CR47" i="1" s="1"/>
  <c r="BH42" i="1"/>
  <c r="CR42" i="1" s="1"/>
  <c r="BH41" i="1"/>
  <c r="CR41" i="1" s="1"/>
  <c r="BH40" i="1"/>
  <c r="CR40" i="1" s="1"/>
  <c r="BH39" i="1"/>
  <c r="CR39" i="1" s="1"/>
  <c r="BH44" i="1" l="1"/>
  <c r="CR44" i="1" s="1"/>
  <c r="BH43" i="1"/>
  <c r="CR43" i="1" s="1"/>
  <c r="BH28" i="1"/>
  <c r="CR28" i="1" s="1"/>
  <c r="BH27" i="1"/>
  <c r="CR27" i="1" s="1"/>
  <c r="BH64" i="1" l="1"/>
  <c r="CR64" i="1" s="1"/>
  <c r="BH63" i="1"/>
  <c r="CR63" i="1" s="1"/>
  <c r="BH24" i="1" l="1"/>
  <c r="CR24" i="1" s="1"/>
  <c r="BH23" i="1"/>
  <c r="CR23" i="1" s="1"/>
  <c r="BH66" i="1" l="1"/>
  <c r="CR66" i="1" s="1"/>
  <c r="BH65" i="1"/>
  <c r="CR65" i="1" s="1"/>
  <c r="BH60" i="1"/>
  <c r="CR60" i="1" s="1"/>
  <c r="BH59" i="1"/>
  <c r="CR59" i="1" s="1"/>
  <c r="BH58" i="1"/>
  <c r="CR58" i="1" s="1"/>
  <c r="BH57" i="1"/>
  <c r="CR57" i="1" s="1"/>
  <c r="BH56" i="1"/>
  <c r="CR56" i="1" s="1"/>
  <c r="BH55" i="1"/>
  <c r="CR55" i="1" s="1"/>
  <c r="BH54" i="1"/>
  <c r="CR54" i="1" s="1"/>
  <c r="BH53" i="1"/>
  <c r="CR53" i="1" s="1"/>
  <c r="BH46" i="1"/>
  <c r="CR46" i="1" s="1"/>
  <c r="BH45" i="1"/>
  <c r="CR45" i="1" s="1"/>
  <c r="BH38" i="1"/>
  <c r="CR38" i="1" s="1"/>
  <c r="BH37" i="1"/>
  <c r="CR37" i="1" s="1"/>
  <c r="BH36" i="1"/>
  <c r="CR36" i="1" s="1"/>
  <c r="BH35" i="1"/>
  <c r="CR35" i="1" s="1"/>
  <c r="BH34" i="1"/>
  <c r="CR34" i="1" s="1"/>
  <c r="BH33" i="1"/>
  <c r="CR33" i="1" s="1"/>
  <c r="BH32" i="1"/>
  <c r="CR32" i="1" s="1"/>
  <c r="BH31" i="1"/>
  <c r="CR31" i="1" s="1"/>
  <c r="BH30" i="1"/>
  <c r="CR30" i="1" s="1"/>
  <c r="BH29" i="1"/>
  <c r="CR29" i="1" s="1"/>
  <c r="BH26" i="1"/>
  <c r="CR26" i="1" s="1"/>
  <c r="BH25" i="1"/>
  <c r="CR25" i="1" s="1"/>
</calcChain>
</file>

<file path=xl/sharedStrings.xml><?xml version="1.0" encoding="utf-8"?>
<sst xmlns="http://schemas.openxmlformats.org/spreadsheetml/2006/main" count="782" uniqueCount="148">
  <si>
    <t>Утв. приказом Минфина России</t>
  </si>
  <si>
    <t>от 30 марта 2015 г. № 52н</t>
  </si>
  <si>
    <t>Т а б е л ь №</t>
  </si>
  <si>
    <t>учета использования рабочего времени</t>
  </si>
  <si>
    <t>КОДЫ</t>
  </si>
  <si>
    <t xml:space="preserve">Форма по ОКУД </t>
  </si>
  <si>
    <t>0504421</t>
  </si>
  <si>
    <t xml:space="preserve">за период с 1 по </t>
  </si>
  <si>
    <t>20</t>
  </si>
  <si>
    <t>г.</t>
  </si>
  <si>
    <t xml:space="preserve">Дата </t>
  </si>
  <si>
    <t>Учреждение</t>
  </si>
  <si>
    <t xml:space="preserve">по ОКПО </t>
  </si>
  <si>
    <t>290944499</t>
  </si>
  <si>
    <t>Структурное подразделение</t>
  </si>
  <si>
    <t>Вид табеля</t>
  </si>
  <si>
    <t>первичный</t>
  </si>
  <si>
    <t>Номер корректировки</t>
  </si>
  <si>
    <t>0</t>
  </si>
  <si>
    <t>(первичный — 0; корректирующий — 1, 2 и т. д.)</t>
  </si>
  <si>
    <t>Дата формирования документа</t>
  </si>
  <si>
    <t>Фамилия, имя,</t>
  </si>
  <si>
    <t>Учетный</t>
  </si>
  <si>
    <t>Должность</t>
  </si>
  <si>
    <t>Числа месяца</t>
  </si>
  <si>
    <t>отчество</t>
  </si>
  <si>
    <t>номер</t>
  </si>
  <si>
    <t>(профессия)</t>
  </si>
  <si>
    <t>Итого</t>
  </si>
  <si>
    <t>Всего</t>
  </si>
  <si>
    <t>дней</t>
  </si>
  <si>
    <t>(часов)</t>
  </si>
  <si>
    <t>явок</t>
  </si>
  <si>
    <t>(неявок)</t>
  </si>
  <si>
    <t>с 1</t>
  </si>
  <si>
    <t>за ме-</t>
  </si>
  <si>
    <t>по 15</t>
  </si>
  <si>
    <t>сяц</t>
  </si>
  <si>
    <t>1</t>
  </si>
  <si>
    <t>Ф</t>
  </si>
  <si>
    <t>В</t>
  </si>
  <si>
    <t>2</t>
  </si>
  <si>
    <t>3</t>
  </si>
  <si>
    <t>4</t>
  </si>
  <si>
    <t>ведущий</t>
  </si>
  <si>
    <t>5</t>
  </si>
  <si>
    <t>6</t>
  </si>
  <si>
    <t>8</t>
  </si>
  <si>
    <t>9</t>
  </si>
  <si>
    <t>начальник</t>
  </si>
  <si>
    <t>заместитель начальника</t>
  </si>
  <si>
    <t>6272</t>
  </si>
  <si>
    <t>Отв.исполнит.</t>
  </si>
  <si>
    <t>Отметка бухгалтерии о принятии настоящего табеля</t>
  </si>
  <si>
    <t>(должность)</t>
  </si>
  <si>
    <t>(подпись)</t>
  </si>
  <si>
    <t>(расшифровка подписи)</t>
  </si>
  <si>
    <t>Исполнитель</t>
  </si>
  <si>
    <t>Рук. структурн.  подразделения</t>
  </si>
  <si>
    <t>Работник кадровой службы</t>
  </si>
  <si>
    <t>«</t>
  </si>
  <si>
    <t>»</t>
  </si>
  <si>
    <t>6670</t>
  </si>
  <si>
    <t>6699</t>
  </si>
  <si>
    <t>Федеральное государственное автономное научное учреждение "Центр информационных технологий и систем органов исполнительной власти имени А.В. Старовойтова"</t>
  </si>
  <si>
    <t>7</t>
  </si>
  <si>
    <t>главный</t>
  </si>
  <si>
    <t>Ведущий специалист</t>
  </si>
  <si>
    <t>О.А. Фомина</t>
  </si>
  <si>
    <t>Елагин Павел Георгиевич</t>
  </si>
  <si>
    <t>Журавлев Игорь Валентинович</t>
  </si>
  <si>
    <t>Журавлев Михаил Валентинович</t>
  </si>
  <si>
    <t>Крылов Александр Владимирович</t>
  </si>
  <si>
    <t>Слуцкий Михаил Викторович</t>
  </si>
  <si>
    <t>Фомина Ольга Алексеевна</t>
  </si>
  <si>
    <t>специалист (осн.)</t>
  </si>
  <si>
    <t>центра (осн.)</t>
  </si>
  <si>
    <t>Лазарев Сергей Алексеевич</t>
  </si>
  <si>
    <t>эксперт (осн.)</t>
  </si>
  <si>
    <t>6896</t>
  </si>
  <si>
    <t>Слуцкий Николай Михайлович</t>
  </si>
  <si>
    <t>Центр образовательной деятельности и подготовки научных кадров</t>
  </si>
  <si>
    <t>Смирнов Станислав Евгеньевич</t>
  </si>
  <si>
    <t>6946</t>
  </si>
  <si>
    <t>центра  (осн.)</t>
  </si>
  <si>
    <t>ведущий специалист-</t>
  </si>
  <si>
    <t>инструктор (осн.)</t>
  </si>
  <si>
    <t>10</t>
  </si>
  <si>
    <t>Ким Павел Филиппович</t>
  </si>
  <si>
    <t>6971</t>
  </si>
  <si>
    <t>11</t>
  </si>
  <si>
    <t>12</t>
  </si>
  <si>
    <t>Спиридонов Федор Борисович</t>
  </si>
  <si>
    <t>6386</t>
  </si>
  <si>
    <t>13</t>
  </si>
  <si>
    <t>Родионов Юрий Родионович</t>
  </si>
  <si>
    <t>7015</t>
  </si>
  <si>
    <t>14</t>
  </si>
  <si>
    <t>15</t>
  </si>
  <si>
    <t>25</t>
  </si>
  <si>
    <t>7084</t>
  </si>
  <si>
    <t>7085</t>
  </si>
  <si>
    <t>старший специалист-</t>
  </si>
  <si>
    <t>начальник отдела (осн.)</t>
  </si>
  <si>
    <t>специалист-</t>
  </si>
  <si>
    <t>16</t>
  </si>
  <si>
    <t>Вардумян Арпине Араевна</t>
  </si>
  <si>
    <t>7126</t>
  </si>
  <si>
    <t>ОТ</t>
  </si>
  <si>
    <t>К</t>
  </si>
  <si>
    <t>отдела (осн.)</t>
  </si>
  <si>
    <t>7144</t>
  </si>
  <si>
    <t>Шишарина Светлана Николаевна</t>
  </si>
  <si>
    <t>Епифанов Илья Дмитриевич</t>
  </si>
  <si>
    <t>7147</t>
  </si>
  <si>
    <t>Петров Матвей Дмитриевич</t>
  </si>
  <si>
    <t>7146</t>
  </si>
  <si>
    <t>эксперт  (осн.)</t>
  </si>
  <si>
    <t>И.В. Журавлев</t>
  </si>
  <si>
    <t>О.А. Комарова</t>
  </si>
  <si>
    <t>Заместитель начальника отдела кадров</t>
  </si>
  <si>
    <t>Начальник Центра</t>
  </si>
  <si>
    <t>октября</t>
  </si>
  <si>
    <t>Б</t>
  </si>
  <si>
    <t>Мазаник Александр Иванович</t>
  </si>
  <si>
    <t>7251</t>
  </si>
  <si>
    <t>профессор (внеш.совм.)</t>
  </si>
  <si>
    <t>Огарок Андрей Леонтиевич</t>
  </si>
  <si>
    <t>7250</t>
  </si>
  <si>
    <t>доцент (внеш.совм.)</t>
  </si>
  <si>
    <t>Рыбаков Анатолий Валерьевич</t>
  </si>
  <si>
    <t>7252</t>
  </si>
  <si>
    <t>Саитов Игорь Акрамович</t>
  </si>
  <si>
    <t>7253</t>
  </si>
  <si>
    <t>Симонов Валерий Михайлович</t>
  </si>
  <si>
    <t>5122</t>
  </si>
  <si>
    <t>профессор (внутр.совм.)</t>
  </si>
  <si>
    <t>Съедин Дмитрий Юрьевич</t>
  </si>
  <si>
    <t>5763</t>
  </si>
  <si>
    <t>доцент (внутр.совм.)</t>
  </si>
  <si>
    <t>17</t>
  </si>
  <si>
    <t>18</t>
  </si>
  <si>
    <t>19</t>
  </si>
  <si>
    <t>21</t>
  </si>
  <si>
    <t>22</t>
  </si>
  <si>
    <t>ДО</t>
  </si>
  <si>
    <t>31</t>
  </si>
  <si>
    <t>31.10.2025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</si>
</sst>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ashDotDot">
        <color auto="1"/>
      </left>
      <right/>
      <top/>
      <bottom/>
      <diagonal/>
    </border>
    <border>
      <left/>
      <right style="dashDotDot">
        <color auto="1"/>
      </right>
      <top style="dashDotDot">
        <color auto="1"/>
      </top>
      <bottom/>
      <diagonal/>
    </border>
    <border>
      <left/>
      <right style="dashDotDot">
        <color auto="1"/>
      </right>
      <top/>
      <bottom/>
      <diagonal/>
    </border>
    <border>
      <left style="dashDotDot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dashDotDot">
        <color auto="1"/>
      </right>
      <top/>
      <bottom style="dashDotDot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0" fontId="4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Alignment="1"/>
    <xf numFmtId="0" fontId="1" fillId="0" borderId="0" xfId="0" applyFont="1"/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0" borderId="16" xfId="0" applyFont="1" applyBorder="1"/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8" xfId="0" applyFont="1" applyBorder="1" applyAlignment="1"/>
    <xf numFmtId="0" fontId="5" fillId="0" borderId="16" xfId="0" applyFont="1" applyBorder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/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8" xfId="0" applyFont="1" applyBorder="1" applyAlignment="1">
      <alignment vertical="top"/>
    </xf>
    <xf numFmtId="0" fontId="5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0" fontId="1" fillId="0" borderId="19" xfId="0" applyFont="1" applyBorder="1"/>
    <xf numFmtId="0" fontId="1" fillId="0" borderId="20" xfId="0" applyFont="1" applyBorder="1"/>
    <xf numFmtId="0" fontId="1" fillId="0" borderId="19" xfId="0" applyFont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49" fontId="1" fillId="0" borderId="29" xfId="0" applyNumberFormat="1" applyFont="1" applyBorder="1" applyAlignment="1">
      <alignment horizontal="center"/>
    </xf>
    <xf numFmtId="49" fontId="1" fillId="0" borderId="36" xfId="0" applyNumberFormat="1" applyFont="1" applyBorder="1" applyAlignment="1">
      <alignment horizontal="center"/>
    </xf>
    <xf numFmtId="49" fontId="1" fillId="0" borderId="30" xfId="0" applyNumberFormat="1" applyFont="1" applyBorder="1" applyAlignment="1">
      <alignment horizontal="center"/>
    </xf>
    <xf numFmtId="49" fontId="1" fillId="0" borderId="31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left"/>
    </xf>
    <xf numFmtId="164" fontId="2" fillId="0" borderId="35" xfId="0" applyNumberFormat="1" applyFont="1" applyBorder="1" applyAlignment="1">
      <alignment horizontal="left"/>
    </xf>
    <xf numFmtId="164" fontId="1" fillId="0" borderId="22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1" fillId="0" borderId="10" xfId="0" applyNumberFormat="1" applyFont="1" applyBorder="1" applyAlignment="1">
      <alignment horizontal="left" vertical="center" wrapText="1" shrinkToFit="1"/>
    </xf>
    <xf numFmtId="49" fontId="1" fillId="0" borderId="11" xfId="0" applyNumberFormat="1" applyFont="1" applyBorder="1" applyAlignment="1">
      <alignment horizontal="left" wrapText="1" shrinkToFit="1"/>
    </xf>
    <xf numFmtId="49" fontId="1" fillId="0" borderId="15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49" fontId="1" fillId="0" borderId="12" xfId="0" applyNumberFormat="1" applyFont="1" applyBorder="1" applyAlignment="1">
      <alignment horizontal="left"/>
    </xf>
    <xf numFmtId="164" fontId="1" fillId="0" borderId="12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left"/>
    </xf>
    <xf numFmtId="164" fontId="2" fillId="2" borderId="12" xfId="0" applyNumberFormat="1" applyFont="1" applyFill="1" applyBorder="1" applyAlignment="1">
      <alignment horizontal="left"/>
    </xf>
    <xf numFmtId="49" fontId="1" fillId="0" borderId="24" xfId="0" applyNumberFormat="1" applyFont="1" applyBorder="1" applyAlignment="1">
      <alignment horizontal="left" wrapText="1" shrinkToFit="1"/>
    </xf>
    <xf numFmtId="49" fontId="1" fillId="0" borderId="25" xfId="0" applyNumberFormat="1" applyFont="1" applyBorder="1" applyAlignment="1">
      <alignment horizontal="left" wrapText="1" shrinkToFit="1"/>
    </xf>
    <xf numFmtId="49" fontId="1" fillId="0" borderId="23" xfId="0" applyNumberFormat="1" applyFont="1" applyBorder="1" applyAlignment="1">
      <alignment horizontal="left" wrapText="1" shrinkToFit="1"/>
    </xf>
    <xf numFmtId="49" fontId="1" fillId="0" borderId="27" xfId="0" applyNumberFormat="1" applyFont="1" applyBorder="1" applyAlignment="1">
      <alignment horizontal="left" wrapText="1" shrinkToFit="1"/>
    </xf>
    <xf numFmtId="49" fontId="1" fillId="0" borderId="28" xfId="0" applyNumberFormat="1" applyFont="1" applyBorder="1" applyAlignment="1">
      <alignment horizontal="left" wrapText="1" shrinkToFit="1"/>
    </xf>
    <xf numFmtId="49" fontId="1" fillId="0" borderId="26" xfId="0" applyNumberFormat="1" applyFont="1" applyBorder="1" applyAlignment="1">
      <alignment horizontal="left" wrapText="1" shrinkToFit="1"/>
    </xf>
    <xf numFmtId="49" fontId="1" fillId="0" borderId="24" xfId="0" applyNumberFormat="1" applyFont="1" applyBorder="1" applyAlignment="1">
      <alignment horizontal="left"/>
    </xf>
    <xf numFmtId="49" fontId="1" fillId="0" borderId="25" xfId="0" applyNumberFormat="1" applyFont="1" applyBorder="1" applyAlignment="1">
      <alignment horizontal="left"/>
    </xf>
    <xf numFmtId="49" fontId="1" fillId="0" borderId="23" xfId="0" applyNumberFormat="1" applyFont="1" applyBorder="1" applyAlignment="1">
      <alignment horizontal="left"/>
    </xf>
    <xf numFmtId="49" fontId="1" fillId="0" borderId="27" xfId="0" applyNumberFormat="1" applyFont="1" applyBorder="1" applyAlignment="1">
      <alignment horizontal="left"/>
    </xf>
    <xf numFmtId="49" fontId="1" fillId="0" borderId="28" xfId="0" applyNumberFormat="1" applyFont="1" applyBorder="1" applyAlignment="1">
      <alignment horizontal="left"/>
    </xf>
    <xf numFmtId="49" fontId="1" fillId="0" borderId="26" xfId="0" applyNumberFormat="1" applyFont="1" applyBorder="1" applyAlignment="1">
      <alignment horizontal="left"/>
    </xf>
    <xf numFmtId="49" fontId="1" fillId="2" borderId="9" xfId="0" applyNumberFormat="1" applyFont="1" applyFill="1" applyBorder="1" applyAlignment="1">
      <alignment horizontal="left"/>
    </xf>
    <xf numFmtId="49" fontId="1" fillId="2" borderId="11" xfId="0" applyNumberFormat="1" applyFont="1" applyFill="1" applyBorder="1" applyAlignment="1">
      <alignment horizontal="left" wrapText="1" shrinkToFit="1"/>
    </xf>
    <xf numFmtId="49" fontId="1" fillId="2" borderId="15" xfId="0" applyNumberFormat="1" applyFont="1" applyFill="1" applyBorder="1" applyAlignment="1">
      <alignment horizontal="left"/>
    </xf>
    <xf numFmtId="49" fontId="1" fillId="2" borderId="11" xfId="0" applyNumberFormat="1" applyFont="1" applyFill="1" applyBorder="1" applyAlignment="1">
      <alignment horizontal="left"/>
    </xf>
    <xf numFmtId="49" fontId="1" fillId="2" borderId="12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wrapText="1"/>
    </xf>
    <xf numFmtId="49" fontId="1" fillId="0" borderId="14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/>
    </xf>
    <xf numFmtId="49" fontId="1" fillId="0" borderId="34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FF"/>
    <pageSetUpPr fitToPage="1"/>
  </sheetPr>
  <dimension ref="A1:AMJ77"/>
  <sheetViews>
    <sheetView tabSelected="1" zoomScaleNormal="100" zoomScalePageLayoutView="85" workbookViewId="0">
      <pane xSplit="96" ySplit="22" topLeftCell="CS23" activePane="bottomRight" state="frozen"/>
      <selection pane="topRight" activeCell="CS1" sqref="CS1"/>
      <selection pane="bottomLeft" activeCell="A27" sqref="A27"/>
      <selection pane="bottomRight" activeCell="CV63" sqref="A63:XFD66"/>
    </sheetView>
  </sheetViews>
  <sheetFormatPr defaultColWidth="1.42578125" defaultRowHeight="12.75" x14ac:dyDescent="0.2"/>
  <cols>
    <col min="1" max="1" width="1.42578125" style="1"/>
    <col min="2" max="2" width="2" style="1" customWidth="1"/>
    <col min="3" max="28" width="1.42578125" style="1"/>
    <col min="29" max="29" width="12.5703125" style="1" customWidth="1"/>
    <col min="30" max="30" width="1.7109375" style="1" customWidth="1"/>
    <col min="31" max="80" width="1.42578125" style="1"/>
    <col min="81" max="81" width="2" style="1" customWidth="1"/>
    <col min="82" max="110" width="1.42578125" style="1"/>
    <col min="111" max="111" width="0.85546875" style="1" customWidth="1"/>
    <col min="112" max="112" width="1.42578125" style="1" hidden="1"/>
    <col min="113" max="113" width="1.140625" style="1" hidden="1" customWidth="1"/>
    <col min="114" max="117" width="1.42578125" style="1" hidden="1"/>
    <col min="118" max="118" width="8.42578125" style="1" customWidth="1"/>
    <col min="119" max="1024" width="1.42578125" style="1"/>
  </cols>
  <sheetData>
    <row r="1" spans="1:99" s="3" customFormat="1" ht="11.2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6" t="s">
        <v>0</v>
      </c>
    </row>
    <row r="2" spans="1:99" s="3" customFormat="1" ht="10.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6" t="s">
        <v>1</v>
      </c>
    </row>
    <row r="3" spans="1:99" ht="5.0999999999999996" customHeight="1" x14ac:dyDescent="0.2"/>
    <row r="4" spans="1:99" s="8" customFormat="1" ht="13.5" customHeight="1" x14ac:dyDescent="0.25">
      <c r="AO4" s="9"/>
      <c r="AP4" s="10"/>
      <c r="AQ4" s="11" t="s">
        <v>2</v>
      </c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H4" s="12"/>
    </row>
    <row r="5" spans="1:99" s="13" customFormat="1" ht="3" customHeight="1" x14ac:dyDescent="0.2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</row>
    <row r="6" spans="1:99" ht="12" customHeight="1" x14ac:dyDescent="0.2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7" t="s">
        <v>4</v>
      </c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/>
    </row>
    <row r="7" spans="1:99" ht="13.5" customHeight="1" x14ac:dyDescent="0.2">
      <c r="CI7" s="14" t="s">
        <v>5</v>
      </c>
      <c r="CJ7" s="98" t="s">
        <v>6</v>
      </c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</row>
    <row r="8" spans="1:99" ht="13.5" customHeight="1" x14ac:dyDescent="0.2">
      <c r="AJ8" s="14" t="s">
        <v>7</v>
      </c>
      <c r="AK8" s="82" t="s">
        <v>146</v>
      </c>
      <c r="AL8" s="82"/>
      <c r="AM8" s="82"/>
      <c r="AN8" s="14"/>
      <c r="AO8" s="82" t="s">
        <v>122</v>
      </c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E8" s="15" t="s">
        <v>8</v>
      </c>
      <c r="BF8" s="99" t="s">
        <v>99</v>
      </c>
      <c r="BG8" s="99"/>
      <c r="BH8" s="99"/>
      <c r="BI8" s="1" t="s">
        <v>9</v>
      </c>
      <c r="CI8" s="14" t="s">
        <v>10</v>
      </c>
      <c r="CJ8" s="100" t="s">
        <v>147</v>
      </c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</row>
    <row r="9" spans="1:99" ht="30.75" customHeight="1" x14ac:dyDescent="0.2">
      <c r="A9" s="1" t="s">
        <v>11</v>
      </c>
      <c r="Q9" s="87" t="s">
        <v>64</v>
      </c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CI9" s="14" t="s">
        <v>12</v>
      </c>
      <c r="CJ9" s="100" t="s">
        <v>13</v>
      </c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</row>
    <row r="10" spans="1:99" ht="12" customHeight="1" x14ac:dyDescent="0.2">
      <c r="A10" s="1" t="s">
        <v>14</v>
      </c>
      <c r="Q10" s="101" t="s">
        <v>81</v>
      </c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CI10" s="14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</row>
    <row r="11" spans="1:99" ht="14.25" customHeight="1" x14ac:dyDescent="0.2">
      <c r="A11" s="1" t="s">
        <v>15</v>
      </c>
      <c r="Q11" s="82" t="s">
        <v>16</v>
      </c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CI11" s="14" t="s">
        <v>17</v>
      </c>
      <c r="CJ11" s="100" t="s">
        <v>18</v>
      </c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</row>
    <row r="12" spans="1:99" ht="15" customHeight="1" x14ac:dyDescent="0.2">
      <c r="Q12" s="16"/>
      <c r="R12" s="16"/>
      <c r="S12" s="16"/>
      <c r="T12" s="16"/>
      <c r="U12" s="16"/>
      <c r="V12" s="102" t="s">
        <v>19</v>
      </c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6"/>
      <c r="BS12" s="16"/>
      <c r="BT12" s="16"/>
      <c r="BU12" s="16"/>
      <c r="BV12" s="16"/>
      <c r="BW12" s="16"/>
      <c r="BX12" s="16"/>
      <c r="BY12" s="16"/>
      <c r="BZ12" s="16"/>
      <c r="CH12" s="14"/>
      <c r="CI12" s="14" t="s">
        <v>20</v>
      </c>
      <c r="CJ12" s="103" t="s">
        <v>147</v>
      </c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</row>
    <row r="13" spans="1:99" ht="11.25" customHeight="1" x14ac:dyDescent="0.2"/>
    <row r="14" spans="1:99" s="17" customFormat="1" ht="11.25" x14ac:dyDescent="0.2">
      <c r="A14" s="93" t="s">
        <v>21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 t="s">
        <v>22</v>
      </c>
      <c r="P14" s="93"/>
      <c r="Q14" s="93"/>
      <c r="R14" s="93"/>
      <c r="S14" s="93"/>
      <c r="T14" s="93"/>
      <c r="U14" s="93"/>
      <c r="V14" s="93"/>
      <c r="W14" s="93" t="s">
        <v>23</v>
      </c>
      <c r="X14" s="93"/>
      <c r="Y14" s="93"/>
      <c r="Z14" s="93"/>
      <c r="AA14" s="93"/>
      <c r="AB14" s="93"/>
      <c r="AC14" s="93"/>
      <c r="AD14" s="93" t="s">
        <v>24</v>
      </c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</row>
    <row r="15" spans="1:99" s="18" customFormat="1" ht="11.25" x14ac:dyDescent="0.2">
      <c r="A15" s="93" t="s">
        <v>25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 t="s">
        <v>26</v>
      </c>
      <c r="P15" s="93"/>
      <c r="Q15" s="93"/>
      <c r="R15" s="93"/>
      <c r="S15" s="93"/>
      <c r="T15" s="93"/>
      <c r="U15" s="93"/>
      <c r="V15" s="93"/>
      <c r="W15" s="93" t="s">
        <v>27</v>
      </c>
      <c r="X15" s="93"/>
      <c r="Y15" s="93"/>
      <c r="Z15" s="93"/>
      <c r="AA15" s="93"/>
      <c r="AB15" s="93"/>
      <c r="AC15" s="93"/>
      <c r="AD15" s="93">
        <v>1</v>
      </c>
      <c r="AE15" s="93"/>
      <c r="AF15" s="93">
        <v>2</v>
      </c>
      <c r="AG15" s="93"/>
      <c r="AH15" s="93">
        <v>3</v>
      </c>
      <c r="AI15" s="93"/>
      <c r="AJ15" s="93">
        <v>4</v>
      </c>
      <c r="AK15" s="93"/>
      <c r="AL15" s="93">
        <v>5</v>
      </c>
      <c r="AM15" s="93"/>
      <c r="AN15" s="93">
        <v>6</v>
      </c>
      <c r="AO15" s="93"/>
      <c r="AP15" s="93">
        <v>7</v>
      </c>
      <c r="AQ15" s="93"/>
      <c r="AR15" s="93">
        <v>8</v>
      </c>
      <c r="AS15" s="93"/>
      <c r="AT15" s="93">
        <v>9</v>
      </c>
      <c r="AU15" s="93"/>
      <c r="AV15" s="93">
        <v>10</v>
      </c>
      <c r="AW15" s="93"/>
      <c r="AX15" s="93">
        <v>11</v>
      </c>
      <c r="AY15" s="93"/>
      <c r="AZ15" s="93">
        <v>12</v>
      </c>
      <c r="BA15" s="93"/>
      <c r="BB15" s="93">
        <v>13</v>
      </c>
      <c r="BC15" s="93"/>
      <c r="BD15" s="93">
        <v>14</v>
      </c>
      <c r="BE15" s="93"/>
      <c r="BF15" s="93">
        <v>15</v>
      </c>
      <c r="BG15" s="93"/>
      <c r="BH15" s="93" t="s">
        <v>28</v>
      </c>
      <c r="BI15" s="93"/>
      <c r="BJ15" s="93"/>
      <c r="BK15" s="93"/>
      <c r="BL15" s="93">
        <v>16</v>
      </c>
      <c r="BM15" s="93"/>
      <c r="BN15" s="93">
        <v>17</v>
      </c>
      <c r="BO15" s="93"/>
      <c r="BP15" s="93">
        <v>18</v>
      </c>
      <c r="BQ15" s="93"/>
      <c r="BR15" s="93">
        <v>19</v>
      </c>
      <c r="BS15" s="93"/>
      <c r="BT15" s="93">
        <v>20</v>
      </c>
      <c r="BU15" s="93"/>
      <c r="BV15" s="93">
        <v>21</v>
      </c>
      <c r="BW15" s="93"/>
      <c r="BX15" s="93">
        <v>22</v>
      </c>
      <c r="BY15" s="93"/>
      <c r="BZ15" s="93">
        <v>23</v>
      </c>
      <c r="CA15" s="93"/>
      <c r="CB15" s="93">
        <v>24</v>
      </c>
      <c r="CC15" s="93"/>
      <c r="CD15" s="93">
        <v>25</v>
      </c>
      <c r="CE15" s="93"/>
      <c r="CF15" s="93">
        <v>26</v>
      </c>
      <c r="CG15" s="93"/>
      <c r="CH15" s="93">
        <v>27</v>
      </c>
      <c r="CI15" s="93"/>
      <c r="CJ15" s="93">
        <v>28</v>
      </c>
      <c r="CK15" s="93"/>
      <c r="CL15" s="93">
        <v>29</v>
      </c>
      <c r="CM15" s="93"/>
      <c r="CN15" s="93">
        <v>30</v>
      </c>
      <c r="CO15" s="93"/>
      <c r="CP15" s="93">
        <v>31</v>
      </c>
      <c r="CQ15" s="93"/>
      <c r="CR15" s="93" t="s">
        <v>29</v>
      </c>
      <c r="CS15" s="93"/>
      <c r="CT15" s="93"/>
      <c r="CU15" s="93"/>
    </row>
    <row r="16" spans="1:99" s="18" customFormat="1" ht="11.25" x14ac:dyDescent="0.2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 t="s">
        <v>30</v>
      </c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 t="s">
        <v>30</v>
      </c>
      <c r="CS16" s="93"/>
      <c r="CT16" s="93"/>
      <c r="CU16" s="93"/>
    </row>
    <row r="17" spans="1:227" s="18" customFormat="1" ht="11.25" x14ac:dyDescent="0.2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 t="s">
        <v>31</v>
      </c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 t="s">
        <v>31</v>
      </c>
      <c r="CS17" s="93"/>
      <c r="CT17" s="93"/>
      <c r="CU17" s="93"/>
    </row>
    <row r="18" spans="1:227" s="18" customFormat="1" ht="11.25" x14ac:dyDescent="0.2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 t="s">
        <v>32</v>
      </c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 t="s">
        <v>32</v>
      </c>
      <c r="CS18" s="93"/>
      <c r="CT18" s="93"/>
      <c r="CU18" s="93"/>
    </row>
    <row r="19" spans="1:227" s="18" customFormat="1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 t="s">
        <v>33</v>
      </c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 t="s">
        <v>33</v>
      </c>
      <c r="CS19" s="93"/>
      <c r="CT19" s="93"/>
      <c r="CU19" s="93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</row>
    <row r="20" spans="1:227" s="18" customFormat="1" x14ac:dyDescent="0.2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 t="s">
        <v>34</v>
      </c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 t="s">
        <v>35</v>
      </c>
      <c r="CS20" s="93"/>
      <c r="CT20" s="93"/>
      <c r="CU20" s="93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</row>
    <row r="21" spans="1:227" s="18" customFormat="1" x14ac:dyDescent="0.2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 t="s">
        <v>36</v>
      </c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 t="s">
        <v>37</v>
      </c>
      <c r="CS21" s="93"/>
      <c r="CT21" s="93"/>
      <c r="CU21" s="93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</row>
    <row r="22" spans="1:227" s="18" customFormat="1" ht="13.5" thickBot="1" x14ac:dyDescent="0.25">
      <c r="A22" s="94">
        <v>1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>
        <v>2</v>
      </c>
      <c r="P22" s="94"/>
      <c r="Q22" s="94"/>
      <c r="R22" s="94"/>
      <c r="S22" s="94">
        <v>3</v>
      </c>
      <c r="T22" s="94"/>
      <c r="U22" s="94"/>
      <c r="V22" s="94"/>
      <c r="W22" s="94">
        <v>4</v>
      </c>
      <c r="X22" s="94"/>
      <c r="Y22" s="94"/>
      <c r="Z22" s="94"/>
      <c r="AA22" s="94"/>
      <c r="AB22" s="94"/>
      <c r="AC22" s="94"/>
      <c r="AD22" s="94">
        <v>5</v>
      </c>
      <c r="AE22" s="94"/>
      <c r="AF22" s="94">
        <v>6</v>
      </c>
      <c r="AG22" s="94"/>
      <c r="AH22" s="94">
        <v>7</v>
      </c>
      <c r="AI22" s="94"/>
      <c r="AJ22" s="94">
        <v>8</v>
      </c>
      <c r="AK22" s="94"/>
      <c r="AL22" s="94">
        <v>9</v>
      </c>
      <c r="AM22" s="94"/>
      <c r="AN22" s="94">
        <v>10</v>
      </c>
      <c r="AO22" s="94"/>
      <c r="AP22" s="94">
        <v>11</v>
      </c>
      <c r="AQ22" s="94"/>
      <c r="AR22" s="94">
        <v>12</v>
      </c>
      <c r="AS22" s="94"/>
      <c r="AT22" s="94">
        <v>13</v>
      </c>
      <c r="AU22" s="94"/>
      <c r="AV22" s="94">
        <v>14</v>
      </c>
      <c r="AW22" s="94"/>
      <c r="AX22" s="94">
        <v>15</v>
      </c>
      <c r="AY22" s="94"/>
      <c r="AZ22" s="94">
        <v>16</v>
      </c>
      <c r="BA22" s="94"/>
      <c r="BB22" s="94">
        <v>17</v>
      </c>
      <c r="BC22" s="94"/>
      <c r="BD22" s="94">
        <v>18</v>
      </c>
      <c r="BE22" s="94"/>
      <c r="BF22" s="94">
        <v>19</v>
      </c>
      <c r="BG22" s="94"/>
      <c r="BH22" s="94">
        <v>20</v>
      </c>
      <c r="BI22" s="94"/>
      <c r="BJ22" s="94"/>
      <c r="BK22" s="94"/>
      <c r="BL22" s="94">
        <v>21</v>
      </c>
      <c r="BM22" s="94"/>
      <c r="BN22" s="94">
        <v>22</v>
      </c>
      <c r="BO22" s="94"/>
      <c r="BP22" s="94">
        <v>23</v>
      </c>
      <c r="BQ22" s="94"/>
      <c r="BR22" s="94">
        <v>24</v>
      </c>
      <c r="BS22" s="94"/>
      <c r="BT22" s="94">
        <v>25</v>
      </c>
      <c r="BU22" s="94"/>
      <c r="BV22" s="94">
        <v>26</v>
      </c>
      <c r="BW22" s="94"/>
      <c r="BX22" s="94">
        <v>27</v>
      </c>
      <c r="BY22" s="94"/>
      <c r="BZ22" s="94">
        <v>28</v>
      </c>
      <c r="CA22" s="94"/>
      <c r="CB22" s="94">
        <v>29</v>
      </c>
      <c r="CC22" s="94"/>
      <c r="CD22" s="94">
        <v>30</v>
      </c>
      <c r="CE22" s="94"/>
      <c r="CF22" s="94">
        <v>31</v>
      </c>
      <c r="CG22" s="94"/>
      <c r="CH22" s="94">
        <v>32</v>
      </c>
      <c r="CI22" s="94"/>
      <c r="CJ22" s="94">
        <v>33</v>
      </c>
      <c r="CK22" s="94"/>
      <c r="CL22" s="94">
        <v>34</v>
      </c>
      <c r="CM22" s="94"/>
      <c r="CN22" s="94">
        <v>35</v>
      </c>
      <c r="CO22" s="94"/>
      <c r="CP22" s="94">
        <v>36</v>
      </c>
      <c r="CQ22" s="94"/>
      <c r="CR22" s="94">
        <v>37</v>
      </c>
      <c r="CS22" s="94"/>
      <c r="CT22" s="94"/>
      <c r="CU22" s="94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</row>
    <row r="23" spans="1:227" s="18" customFormat="1" ht="17.100000000000001" hidden="1" customHeight="1" thickBot="1" x14ac:dyDescent="0.25">
      <c r="A23" s="57" t="s">
        <v>38</v>
      </c>
      <c r="B23" s="57"/>
      <c r="C23" s="78" t="s">
        <v>106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60" t="s">
        <v>107</v>
      </c>
      <c r="P23" s="60"/>
      <c r="Q23" s="60"/>
      <c r="R23" s="60"/>
      <c r="S23" s="60"/>
      <c r="T23" s="60"/>
      <c r="U23" s="60"/>
      <c r="V23" s="60"/>
      <c r="W23" s="61" t="s">
        <v>75</v>
      </c>
      <c r="X23" s="61"/>
      <c r="Y23" s="61"/>
      <c r="Z23" s="61"/>
      <c r="AA23" s="61"/>
      <c r="AB23" s="61"/>
      <c r="AC23" s="61"/>
      <c r="AD23" s="64">
        <v>4.8</v>
      </c>
      <c r="AE23" s="64"/>
      <c r="AF23" s="64">
        <v>4.8</v>
      </c>
      <c r="AG23" s="64"/>
      <c r="AH23" s="64">
        <v>4.8</v>
      </c>
      <c r="AI23" s="64"/>
      <c r="AJ23" s="64"/>
      <c r="AK23" s="64"/>
      <c r="AL23" s="64"/>
      <c r="AM23" s="64"/>
      <c r="AN23" s="64">
        <v>4.8</v>
      </c>
      <c r="AO23" s="64"/>
      <c r="AP23" s="64">
        <v>4.8</v>
      </c>
      <c r="AQ23" s="64"/>
      <c r="AR23" s="64">
        <v>4.8</v>
      </c>
      <c r="AS23" s="64"/>
      <c r="AT23" s="64">
        <v>4.8</v>
      </c>
      <c r="AU23" s="64"/>
      <c r="AV23" s="64">
        <v>4.8</v>
      </c>
      <c r="AW23" s="64"/>
      <c r="AX23" s="64"/>
      <c r="AY23" s="64"/>
      <c r="AZ23" s="64"/>
      <c r="BA23" s="64"/>
      <c r="BB23" s="64">
        <v>4.8</v>
      </c>
      <c r="BC23" s="64"/>
      <c r="BD23" s="64">
        <v>4.8</v>
      </c>
      <c r="BE23" s="64"/>
      <c r="BF23" s="64">
        <v>4.8</v>
      </c>
      <c r="BG23" s="64"/>
      <c r="BH23" s="62">
        <f>SUM(AD23:BG23)</f>
        <v>52.79999999999999</v>
      </c>
      <c r="BI23" s="62"/>
      <c r="BJ23" s="62"/>
      <c r="BK23" s="62"/>
      <c r="BL23" s="64">
        <v>4.8</v>
      </c>
      <c r="BM23" s="64"/>
      <c r="BN23" s="64">
        <v>4.8</v>
      </c>
      <c r="BO23" s="64"/>
      <c r="BP23" s="64"/>
      <c r="BQ23" s="64"/>
      <c r="BR23" s="64"/>
      <c r="BS23" s="64"/>
      <c r="BT23" s="64">
        <v>4.8</v>
      </c>
      <c r="BU23" s="64"/>
      <c r="BV23" s="64">
        <v>4.8</v>
      </c>
      <c r="BW23" s="64"/>
      <c r="BX23" s="64">
        <v>4.8</v>
      </c>
      <c r="BY23" s="64"/>
      <c r="BZ23" s="64">
        <v>4.8</v>
      </c>
      <c r="CA23" s="64"/>
      <c r="CB23" s="64">
        <v>4.8</v>
      </c>
      <c r="CC23" s="64"/>
      <c r="CD23" s="64"/>
      <c r="CE23" s="64"/>
      <c r="CF23" s="64"/>
      <c r="CG23" s="64"/>
      <c r="CH23" s="64">
        <v>4.8</v>
      </c>
      <c r="CI23" s="64"/>
      <c r="CJ23" s="64">
        <v>4.8</v>
      </c>
      <c r="CK23" s="64"/>
      <c r="CL23" s="64">
        <v>4.8</v>
      </c>
      <c r="CM23" s="64"/>
      <c r="CN23" s="64">
        <v>4.8</v>
      </c>
      <c r="CO23" s="64"/>
      <c r="CP23" s="64">
        <v>4.8</v>
      </c>
      <c r="CQ23" s="64"/>
      <c r="CR23" s="92">
        <f>SUM(BL23:CQ23) +BH23</f>
        <v>110.39999999999998</v>
      </c>
      <c r="CS23" s="92"/>
      <c r="CT23" s="92"/>
      <c r="CU23" s="92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</row>
    <row r="24" spans="1:227" s="18" customFormat="1" ht="17.100000000000001" hidden="1" customHeight="1" thickBot="1" x14ac:dyDescent="0.25">
      <c r="A24" s="57"/>
      <c r="B24" s="57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60"/>
      <c r="P24" s="60"/>
      <c r="Q24" s="60"/>
      <c r="R24" s="60"/>
      <c r="S24" s="60"/>
      <c r="T24" s="60"/>
      <c r="U24" s="60"/>
      <c r="V24" s="60"/>
      <c r="W24" s="77"/>
      <c r="X24" s="77"/>
      <c r="Y24" s="77"/>
      <c r="Z24" s="77"/>
      <c r="AA24" s="77"/>
      <c r="AB24" s="77"/>
      <c r="AC24" s="77"/>
      <c r="AD24" s="47" t="s">
        <v>39</v>
      </c>
      <c r="AE24" s="48"/>
      <c r="AF24" s="47" t="s">
        <v>39</v>
      </c>
      <c r="AG24" s="48"/>
      <c r="AH24" s="47" t="s">
        <v>39</v>
      </c>
      <c r="AI24" s="48"/>
      <c r="AJ24" s="47" t="s">
        <v>40</v>
      </c>
      <c r="AK24" s="48"/>
      <c r="AL24" s="47" t="s">
        <v>40</v>
      </c>
      <c r="AM24" s="48"/>
      <c r="AN24" s="47" t="s">
        <v>39</v>
      </c>
      <c r="AO24" s="48"/>
      <c r="AP24" s="47" t="s">
        <v>39</v>
      </c>
      <c r="AQ24" s="48"/>
      <c r="AR24" s="47" t="s">
        <v>39</v>
      </c>
      <c r="AS24" s="48"/>
      <c r="AT24" s="47" t="s">
        <v>39</v>
      </c>
      <c r="AU24" s="48"/>
      <c r="AV24" s="47" t="s">
        <v>39</v>
      </c>
      <c r="AW24" s="48"/>
      <c r="AX24" s="47" t="s">
        <v>40</v>
      </c>
      <c r="AY24" s="48"/>
      <c r="AZ24" s="47" t="s">
        <v>40</v>
      </c>
      <c r="BA24" s="48"/>
      <c r="BB24" s="47" t="s">
        <v>39</v>
      </c>
      <c r="BC24" s="48"/>
      <c r="BD24" s="47" t="s">
        <v>39</v>
      </c>
      <c r="BE24" s="48"/>
      <c r="BF24" s="47" t="s">
        <v>39</v>
      </c>
      <c r="BG24" s="48"/>
      <c r="BH24" s="56">
        <f>COUNTIFS(AB24:BG24,"Ф")</f>
        <v>11</v>
      </c>
      <c r="BI24" s="56"/>
      <c r="BJ24" s="56"/>
      <c r="BK24" s="56"/>
      <c r="BL24" s="47" t="s">
        <v>39</v>
      </c>
      <c r="BM24" s="48"/>
      <c r="BN24" s="47" t="s">
        <v>39</v>
      </c>
      <c r="BO24" s="48"/>
      <c r="BP24" s="47" t="s">
        <v>40</v>
      </c>
      <c r="BQ24" s="48"/>
      <c r="BR24" s="47" t="s">
        <v>40</v>
      </c>
      <c r="BS24" s="48"/>
      <c r="BT24" s="47" t="s">
        <v>39</v>
      </c>
      <c r="BU24" s="48"/>
      <c r="BV24" s="47" t="s">
        <v>39</v>
      </c>
      <c r="BW24" s="48"/>
      <c r="BX24" s="47" t="s">
        <v>39</v>
      </c>
      <c r="BY24" s="48"/>
      <c r="BZ24" s="47" t="s">
        <v>39</v>
      </c>
      <c r="CA24" s="48"/>
      <c r="CB24" s="47" t="s">
        <v>39</v>
      </c>
      <c r="CC24" s="48"/>
      <c r="CD24" s="47" t="s">
        <v>40</v>
      </c>
      <c r="CE24" s="48"/>
      <c r="CF24" s="47" t="s">
        <v>40</v>
      </c>
      <c r="CG24" s="48"/>
      <c r="CH24" s="47" t="s">
        <v>39</v>
      </c>
      <c r="CI24" s="48"/>
      <c r="CJ24" s="47" t="s">
        <v>39</v>
      </c>
      <c r="CK24" s="48"/>
      <c r="CL24" s="47" t="s">
        <v>39</v>
      </c>
      <c r="CM24" s="48"/>
      <c r="CN24" s="47" t="s">
        <v>39</v>
      </c>
      <c r="CO24" s="48"/>
      <c r="CP24" s="47" t="s">
        <v>39</v>
      </c>
      <c r="CQ24" s="48"/>
      <c r="CR24" s="91">
        <f>COUNTIFS(BL24:CQ24,"Ф") + BH24</f>
        <v>23</v>
      </c>
      <c r="CS24" s="91"/>
      <c r="CT24" s="91"/>
      <c r="CU24" s="9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</row>
    <row r="25" spans="1:227" s="19" customFormat="1" ht="17.100000000000001" hidden="1" customHeight="1" thickBot="1" x14ac:dyDescent="0.25">
      <c r="A25" s="57" t="s">
        <v>41</v>
      </c>
      <c r="B25" s="57"/>
      <c r="C25" s="58" t="s">
        <v>69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60" t="s">
        <v>62</v>
      </c>
      <c r="P25" s="60"/>
      <c r="Q25" s="60"/>
      <c r="R25" s="60"/>
      <c r="S25" s="60"/>
      <c r="T25" s="60"/>
      <c r="U25" s="60"/>
      <c r="V25" s="60"/>
      <c r="W25" s="61" t="s">
        <v>66</v>
      </c>
      <c r="X25" s="61"/>
      <c r="Y25" s="61"/>
      <c r="Z25" s="61"/>
      <c r="AA25" s="61"/>
      <c r="AB25" s="61"/>
      <c r="AC25" s="61"/>
      <c r="AD25" s="51">
        <v>8</v>
      </c>
      <c r="AE25" s="52"/>
      <c r="AF25" s="51">
        <v>8</v>
      </c>
      <c r="AG25" s="52"/>
      <c r="AH25" s="51">
        <v>8</v>
      </c>
      <c r="AI25" s="52"/>
      <c r="AJ25" s="51"/>
      <c r="AK25" s="52"/>
      <c r="AL25" s="51"/>
      <c r="AM25" s="52"/>
      <c r="AN25" s="51">
        <v>8</v>
      </c>
      <c r="AO25" s="52"/>
      <c r="AP25" s="51">
        <v>8</v>
      </c>
      <c r="AQ25" s="52"/>
      <c r="AR25" s="51">
        <v>8</v>
      </c>
      <c r="AS25" s="52"/>
      <c r="AT25" s="51">
        <v>8</v>
      </c>
      <c r="AU25" s="52"/>
      <c r="AV25" s="51">
        <v>8</v>
      </c>
      <c r="AW25" s="52"/>
      <c r="AX25" s="51"/>
      <c r="AY25" s="52"/>
      <c r="AZ25" s="51"/>
      <c r="BA25" s="52"/>
      <c r="BB25" s="51">
        <v>8</v>
      </c>
      <c r="BC25" s="52"/>
      <c r="BD25" s="51">
        <v>8</v>
      </c>
      <c r="BE25" s="52"/>
      <c r="BF25" s="51">
        <v>8</v>
      </c>
      <c r="BG25" s="52"/>
      <c r="BH25" s="62">
        <f>SUM(AD25:BG25)</f>
        <v>88</v>
      </c>
      <c r="BI25" s="62"/>
      <c r="BJ25" s="62"/>
      <c r="BK25" s="62"/>
      <c r="BL25" s="51">
        <v>8</v>
      </c>
      <c r="BM25" s="52"/>
      <c r="BN25" s="51">
        <v>8</v>
      </c>
      <c r="BO25" s="52"/>
      <c r="BP25" s="51"/>
      <c r="BQ25" s="52"/>
      <c r="BR25" s="51"/>
      <c r="BS25" s="52"/>
      <c r="BT25" s="51">
        <v>8</v>
      </c>
      <c r="BU25" s="52"/>
      <c r="BV25" s="51">
        <v>8</v>
      </c>
      <c r="BW25" s="52"/>
      <c r="BX25" s="51">
        <v>8</v>
      </c>
      <c r="BY25" s="52"/>
      <c r="BZ25" s="51">
        <v>8</v>
      </c>
      <c r="CA25" s="52"/>
      <c r="CB25" s="51">
        <v>8</v>
      </c>
      <c r="CC25" s="52"/>
      <c r="CD25" s="51"/>
      <c r="CE25" s="52"/>
      <c r="CF25" s="51"/>
      <c r="CG25" s="52"/>
      <c r="CH25" s="51">
        <v>8</v>
      </c>
      <c r="CI25" s="52"/>
      <c r="CJ25" s="51">
        <v>8</v>
      </c>
      <c r="CK25" s="52"/>
      <c r="CL25" s="51">
        <v>8</v>
      </c>
      <c r="CM25" s="52"/>
      <c r="CN25" s="51">
        <v>8</v>
      </c>
      <c r="CO25" s="52"/>
      <c r="CP25" s="51">
        <v>8</v>
      </c>
      <c r="CQ25" s="52"/>
      <c r="CR25" s="92">
        <f>SUM(BL25:CQ25) +BH25</f>
        <v>184</v>
      </c>
      <c r="CS25" s="92"/>
      <c r="CT25" s="92"/>
      <c r="CU25" s="92"/>
    </row>
    <row r="26" spans="1:227" s="19" customFormat="1" ht="17.100000000000001" hidden="1" customHeight="1" thickBot="1" x14ac:dyDescent="0.25">
      <c r="A26" s="57"/>
      <c r="B26" s="57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60"/>
      <c r="P26" s="60"/>
      <c r="Q26" s="60"/>
      <c r="R26" s="60"/>
      <c r="S26" s="60"/>
      <c r="T26" s="60"/>
      <c r="U26" s="60"/>
      <c r="V26" s="60"/>
      <c r="W26" s="63" t="s">
        <v>75</v>
      </c>
      <c r="X26" s="63"/>
      <c r="Y26" s="63"/>
      <c r="Z26" s="63"/>
      <c r="AA26" s="63"/>
      <c r="AB26" s="63"/>
      <c r="AC26" s="63"/>
      <c r="AD26" s="47" t="s">
        <v>39</v>
      </c>
      <c r="AE26" s="48"/>
      <c r="AF26" s="47" t="s">
        <v>39</v>
      </c>
      <c r="AG26" s="48"/>
      <c r="AH26" s="47" t="s">
        <v>39</v>
      </c>
      <c r="AI26" s="48"/>
      <c r="AJ26" s="47" t="s">
        <v>40</v>
      </c>
      <c r="AK26" s="48"/>
      <c r="AL26" s="47" t="s">
        <v>40</v>
      </c>
      <c r="AM26" s="48"/>
      <c r="AN26" s="47" t="s">
        <v>39</v>
      </c>
      <c r="AO26" s="48"/>
      <c r="AP26" s="47" t="s">
        <v>39</v>
      </c>
      <c r="AQ26" s="48"/>
      <c r="AR26" s="47" t="s">
        <v>39</v>
      </c>
      <c r="AS26" s="48"/>
      <c r="AT26" s="47" t="s">
        <v>39</v>
      </c>
      <c r="AU26" s="48"/>
      <c r="AV26" s="47" t="s">
        <v>39</v>
      </c>
      <c r="AW26" s="48"/>
      <c r="AX26" s="47" t="s">
        <v>40</v>
      </c>
      <c r="AY26" s="48"/>
      <c r="AZ26" s="47" t="s">
        <v>40</v>
      </c>
      <c r="BA26" s="48"/>
      <c r="BB26" s="47" t="s">
        <v>39</v>
      </c>
      <c r="BC26" s="48"/>
      <c r="BD26" s="47" t="s">
        <v>39</v>
      </c>
      <c r="BE26" s="48"/>
      <c r="BF26" s="47" t="s">
        <v>39</v>
      </c>
      <c r="BG26" s="48"/>
      <c r="BH26" s="56">
        <f>COUNTIFS(AB26:BG26,"Ф")</f>
        <v>11</v>
      </c>
      <c r="BI26" s="56"/>
      <c r="BJ26" s="56"/>
      <c r="BK26" s="56"/>
      <c r="BL26" s="47" t="s">
        <v>39</v>
      </c>
      <c r="BM26" s="48"/>
      <c r="BN26" s="47" t="s">
        <v>39</v>
      </c>
      <c r="BO26" s="48"/>
      <c r="BP26" s="47" t="s">
        <v>40</v>
      </c>
      <c r="BQ26" s="48"/>
      <c r="BR26" s="47" t="s">
        <v>40</v>
      </c>
      <c r="BS26" s="48"/>
      <c r="BT26" s="47" t="s">
        <v>39</v>
      </c>
      <c r="BU26" s="48"/>
      <c r="BV26" s="47" t="s">
        <v>39</v>
      </c>
      <c r="BW26" s="48"/>
      <c r="BX26" s="47" t="s">
        <v>39</v>
      </c>
      <c r="BY26" s="48"/>
      <c r="BZ26" s="47" t="s">
        <v>39</v>
      </c>
      <c r="CA26" s="48"/>
      <c r="CB26" s="47" t="s">
        <v>39</v>
      </c>
      <c r="CC26" s="48"/>
      <c r="CD26" s="47" t="s">
        <v>40</v>
      </c>
      <c r="CE26" s="48"/>
      <c r="CF26" s="47" t="s">
        <v>40</v>
      </c>
      <c r="CG26" s="48"/>
      <c r="CH26" s="47" t="s">
        <v>39</v>
      </c>
      <c r="CI26" s="48"/>
      <c r="CJ26" s="47" t="s">
        <v>39</v>
      </c>
      <c r="CK26" s="48"/>
      <c r="CL26" s="47" t="s">
        <v>39</v>
      </c>
      <c r="CM26" s="48"/>
      <c r="CN26" s="47" t="s">
        <v>39</v>
      </c>
      <c r="CO26" s="48"/>
      <c r="CP26" s="47" t="s">
        <v>39</v>
      </c>
      <c r="CQ26" s="48"/>
      <c r="CR26" s="91">
        <f>COUNTIFS(BL26:CQ26,"Ф") + BH26</f>
        <v>23</v>
      </c>
      <c r="CS26" s="91"/>
      <c r="CT26" s="91"/>
      <c r="CU26" s="91"/>
    </row>
    <row r="27" spans="1:227" s="19" customFormat="1" ht="17.100000000000001" hidden="1" customHeight="1" thickBot="1" x14ac:dyDescent="0.25">
      <c r="A27" s="57" t="s">
        <v>42</v>
      </c>
      <c r="B27" s="57"/>
      <c r="C27" s="58" t="s">
        <v>113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60" t="s">
        <v>114</v>
      </c>
      <c r="P27" s="60"/>
      <c r="Q27" s="60"/>
      <c r="R27" s="60"/>
      <c r="S27" s="60"/>
      <c r="T27" s="60"/>
      <c r="U27" s="60"/>
      <c r="V27" s="60"/>
      <c r="W27" s="105" t="s">
        <v>75</v>
      </c>
      <c r="X27" s="105"/>
      <c r="Y27" s="105"/>
      <c r="Z27" s="105"/>
      <c r="AA27" s="105"/>
      <c r="AB27" s="105"/>
      <c r="AC27" s="105"/>
      <c r="AD27" s="64">
        <v>3.2</v>
      </c>
      <c r="AE27" s="64"/>
      <c r="AF27" s="64">
        <v>3.2</v>
      </c>
      <c r="AG27" s="64"/>
      <c r="AH27" s="64">
        <v>3.2</v>
      </c>
      <c r="AI27" s="64"/>
      <c r="AJ27" s="64"/>
      <c r="AK27" s="64"/>
      <c r="AL27" s="64"/>
      <c r="AM27" s="64"/>
      <c r="AN27" s="64">
        <v>3.2</v>
      </c>
      <c r="AO27" s="64"/>
      <c r="AP27" s="64">
        <v>3.2</v>
      </c>
      <c r="AQ27" s="64"/>
      <c r="AR27" s="64">
        <v>3.2</v>
      </c>
      <c r="AS27" s="64"/>
      <c r="AT27" s="64">
        <v>3.2</v>
      </c>
      <c r="AU27" s="64"/>
      <c r="AV27" s="64">
        <v>3.2</v>
      </c>
      <c r="AW27" s="64"/>
      <c r="AX27" s="64"/>
      <c r="AY27" s="64"/>
      <c r="AZ27" s="64"/>
      <c r="BA27" s="64"/>
      <c r="BB27" s="64">
        <v>3.2</v>
      </c>
      <c r="BC27" s="64"/>
      <c r="BD27" s="64">
        <v>3.2</v>
      </c>
      <c r="BE27" s="64"/>
      <c r="BF27" s="64">
        <v>3.2</v>
      </c>
      <c r="BG27" s="64"/>
      <c r="BH27" s="62">
        <f>SUM(AD27:BG27)</f>
        <v>35.199999999999996</v>
      </c>
      <c r="BI27" s="62"/>
      <c r="BJ27" s="62"/>
      <c r="BK27" s="62"/>
      <c r="BL27" s="64">
        <v>3.2</v>
      </c>
      <c r="BM27" s="64"/>
      <c r="BN27" s="64">
        <v>3.2</v>
      </c>
      <c r="BO27" s="64"/>
      <c r="BP27" s="64"/>
      <c r="BQ27" s="64"/>
      <c r="BR27" s="64"/>
      <c r="BS27" s="64"/>
      <c r="BT27" s="64">
        <v>3.2</v>
      </c>
      <c r="BU27" s="64"/>
      <c r="BV27" s="64">
        <v>3.2</v>
      </c>
      <c r="BW27" s="64"/>
      <c r="BX27" s="64">
        <v>3.2</v>
      </c>
      <c r="BY27" s="64"/>
      <c r="BZ27" s="64">
        <v>3.2</v>
      </c>
      <c r="CA27" s="64"/>
      <c r="CB27" s="64">
        <v>3.2</v>
      </c>
      <c r="CC27" s="64"/>
      <c r="CD27" s="64"/>
      <c r="CE27" s="64"/>
      <c r="CF27" s="64"/>
      <c r="CG27" s="64"/>
      <c r="CH27" s="64">
        <v>3.2</v>
      </c>
      <c r="CI27" s="64"/>
      <c r="CJ27" s="64">
        <v>3.2</v>
      </c>
      <c r="CK27" s="64"/>
      <c r="CL27" s="64">
        <v>3.2</v>
      </c>
      <c r="CM27" s="64"/>
      <c r="CN27" s="64">
        <v>3.2</v>
      </c>
      <c r="CO27" s="64"/>
      <c r="CP27" s="64">
        <v>3.2</v>
      </c>
      <c r="CQ27" s="64"/>
      <c r="CR27" s="92">
        <f>SUM(BL27:CQ27) +BH27</f>
        <v>73.599999999999994</v>
      </c>
      <c r="CS27" s="92"/>
      <c r="CT27" s="92"/>
      <c r="CU27" s="92"/>
    </row>
    <row r="28" spans="1:227" s="19" customFormat="1" ht="17.100000000000001" hidden="1" customHeight="1" thickBot="1" x14ac:dyDescent="0.25">
      <c r="A28" s="57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0"/>
      <c r="P28" s="60"/>
      <c r="Q28" s="60"/>
      <c r="R28" s="60"/>
      <c r="S28" s="60"/>
      <c r="T28" s="60"/>
      <c r="U28" s="60"/>
      <c r="V28" s="60"/>
      <c r="W28" s="63"/>
      <c r="X28" s="63"/>
      <c r="Y28" s="63"/>
      <c r="Z28" s="63"/>
      <c r="AA28" s="63"/>
      <c r="AB28" s="63"/>
      <c r="AC28" s="63"/>
      <c r="AD28" s="47" t="s">
        <v>39</v>
      </c>
      <c r="AE28" s="48"/>
      <c r="AF28" s="47" t="s">
        <v>39</v>
      </c>
      <c r="AG28" s="48"/>
      <c r="AH28" s="47" t="s">
        <v>39</v>
      </c>
      <c r="AI28" s="48"/>
      <c r="AJ28" s="47" t="s">
        <v>40</v>
      </c>
      <c r="AK28" s="48"/>
      <c r="AL28" s="47" t="s">
        <v>40</v>
      </c>
      <c r="AM28" s="48"/>
      <c r="AN28" s="47" t="s">
        <v>39</v>
      </c>
      <c r="AO28" s="48"/>
      <c r="AP28" s="47" t="s">
        <v>39</v>
      </c>
      <c r="AQ28" s="48"/>
      <c r="AR28" s="47" t="s">
        <v>39</v>
      </c>
      <c r="AS28" s="48"/>
      <c r="AT28" s="47" t="s">
        <v>39</v>
      </c>
      <c r="AU28" s="48"/>
      <c r="AV28" s="47" t="s">
        <v>39</v>
      </c>
      <c r="AW28" s="48"/>
      <c r="AX28" s="47" t="s">
        <v>40</v>
      </c>
      <c r="AY28" s="48"/>
      <c r="AZ28" s="47" t="s">
        <v>40</v>
      </c>
      <c r="BA28" s="48"/>
      <c r="BB28" s="47" t="s">
        <v>39</v>
      </c>
      <c r="BC28" s="48"/>
      <c r="BD28" s="47" t="s">
        <v>39</v>
      </c>
      <c r="BE28" s="48"/>
      <c r="BF28" s="47" t="s">
        <v>39</v>
      </c>
      <c r="BG28" s="48"/>
      <c r="BH28" s="56">
        <f>COUNTIFS(AB28:BG28,"Ф")</f>
        <v>11</v>
      </c>
      <c r="BI28" s="56"/>
      <c r="BJ28" s="56"/>
      <c r="BK28" s="56"/>
      <c r="BL28" s="47" t="s">
        <v>39</v>
      </c>
      <c r="BM28" s="48"/>
      <c r="BN28" s="47" t="s">
        <v>39</v>
      </c>
      <c r="BO28" s="48"/>
      <c r="BP28" s="47" t="s">
        <v>40</v>
      </c>
      <c r="BQ28" s="48"/>
      <c r="BR28" s="47" t="s">
        <v>40</v>
      </c>
      <c r="BS28" s="48"/>
      <c r="BT28" s="47" t="s">
        <v>39</v>
      </c>
      <c r="BU28" s="48"/>
      <c r="BV28" s="47" t="s">
        <v>39</v>
      </c>
      <c r="BW28" s="48"/>
      <c r="BX28" s="47" t="s">
        <v>39</v>
      </c>
      <c r="BY28" s="48"/>
      <c r="BZ28" s="47" t="s">
        <v>39</v>
      </c>
      <c r="CA28" s="48"/>
      <c r="CB28" s="47" t="s">
        <v>39</v>
      </c>
      <c r="CC28" s="48"/>
      <c r="CD28" s="47" t="s">
        <v>40</v>
      </c>
      <c r="CE28" s="48"/>
      <c r="CF28" s="47" t="s">
        <v>40</v>
      </c>
      <c r="CG28" s="48"/>
      <c r="CH28" s="47" t="s">
        <v>39</v>
      </c>
      <c r="CI28" s="48"/>
      <c r="CJ28" s="47" t="s">
        <v>39</v>
      </c>
      <c r="CK28" s="48"/>
      <c r="CL28" s="47" t="s">
        <v>39</v>
      </c>
      <c r="CM28" s="48"/>
      <c r="CN28" s="47" t="s">
        <v>39</v>
      </c>
      <c r="CO28" s="48"/>
      <c r="CP28" s="47" t="s">
        <v>39</v>
      </c>
      <c r="CQ28" s="48"/>
      <c r="CR28" s="91">
        <f>COUNTIFS(BL28:CQ28,"Ф") + BH28</f>
        <v>23</v>
      </c>
      <c r="CS28" s="91"/>
      <c r="CT28" s="91"/>
      <c r="CU28" s="91"/>
    </row>
    <row r="29" spans="1:227" ht="17.100000000000001" hidden="1" customHeight="1" thickBot="1" x14ac:dyDescent="0.25">
      <c r="A29" s="57" t="s">
        <v>43</v>
      </c>
      <c r="B29" s="57"/>
      <c r="C29" s="58" t="s">
        <v>70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60">
        <v>6249</v>
      </c>
      <c r="P29" s="60"/>
      <c r="Q29" s="60"/>
      <c r="R29" s="60"/>
      <c r="S29" s="60"/>
      <c r="T29" s="60"/>
      <c r="U29" s="60"/>
      <c r="V29" s="60"/>
      <c r="W29" s="61" t="s">
        <v>49</v>
      </c>
      <c r="X29" s="61"/>
      <c r="Y29" s="61"/>
      <c r="Z29" s="61"/>
      <c r="AA29" s="61"/>
      <c r="AB29" s="61"/>
      <c r="AC29" s="61"/>
      <c r="AD29" s="51">
        <v>8</v>
      </c>
      <c r="AE29" s="52"/>
      <c r="AF29" s="51">
        <v>8</v>
      </c>
      <c r="AG29" s="52"/>
      <c r="AH29" s="51">
        <v>8</v>
      </c>
      <c r="AI29" s="52"/>
      <c r="AJ29" s="51"/>
      <c r="AK29" s="52"/>
      <c r="AL29" s="51"/>
      <c r="AM29" s="52"/>
      <c r="AN29" s="51">
        <v>8</v>
      </c>
      <c r="AO29" s="52"/>
      <c r="AP29" s="51">
        <v>8</v>
      </c>
      <c r="AQ29" s="52"/>
      <c r="AR29" s="51">
        <v>8</v>
      </c>
      <c r="AS29" s="52"/>
      <c r="AT29" s="51">
        <v>8</v>
      </c>
      <c r="AU29" s="52"/>
      <c r="AV29" s="51">
        <v>8</v>
      </c>
      <c r="AW29" s="52"/>
      <c r="AX29" s="51"/>
      <c r="AY29" s="52"/>
      <c r="AZ29" s="51"/>
      <c r="BA29" s="52"/>
      <c r="BB29" s="51">
        <v>8</v>
      </c>
      <c r="BC29" s="52"/>
      <c r="BD29" s="51">
        <v>8</v>
      </c>
      <c r="BE29" s="52"/>
      <c r="BF29" s="51">
        <v>8</v>
      </c>
      <c r="BG29" s="52"/>
      <c r="BH29" s="62">
        <f>SUM(AD29:BG29)</f>
        <v>88</v>
      </c>
      <c r="BI29" s="62"/>
      <c r="BJ29" s="62"/>
      <c r="BK29" s="62"/>
      <c r="BL29" s="51">
        <v>8</v>
      </c>
      <c r="BM29" s="52"/>
      <c r="BN29" s="51">
        <v>8</v>
      </c>
      <c r="BO29" s="52"/>
      <c r="BP29" s="51"/>
      <c r="BQ29" s="52"/>
      <c r="BR29" s="51"/>
      <c r="BS29" s="52"/>
      <c r="BT29" s="51">
        <v>8</v>
      </c>
      <c r="BU29" s="52"/>
      <c r="BV29" s="51">
        <v>8</v>
      </c>
      <c r="BW29" s="52"/>
      <c r="BX29" s="51">
        <v>8</v>
      </c>
      <c r="BY29" s="52"/>
      <c r="BZ29" s="51">
        <v>8</v>
      </c>
      <c r="CA29" s="52"/>
      <c r="CB29" s="51">
        <v>8</v>
      </c>
      <c r="CC29" s="52"/>
      <c r="CD29" s="51"/>
      <c r="CE29" s="52"/>
      <c r="CF29" s="51"/>
      <c r="CG29" s="52"/>
      <c r="CH29" s="51">
        <v>8</v>
      </c>
      <c r="CI29" s="52"/>
      <c r="CJ29" s="51">
        <v>8</v>
      </c>
      <c r="CK29" s="52"/>
      <c r="CL29" s="51">
        <v>8</v>
      </c>
      <c r="CM29" s="52"/>
      <c r="CN29" s="51">
        <v>8</v>
      </c>
      <c r="CO29" s="52"/>
      <c r="CP29" s="51">
        <v>8</v>
      </c>
      <c r="CQ29" s="52"/>
      <c r="CR29" s="92">
        <f>SUM(BL29:CQ29) +BH29</f>
        <v>184</v>
      </c>
      <c r="CS29" s="92"/>
      <c r="CT29" s="92"/>
      <c r="CU29" s="92"/>
      <c r="CV29" s="19"/>
      <c r="CW29" s="19"/>
      <c r="CX29" s="19"/>
    </row>
    <row r="30" spans="1:227" ht="17.100000000000001" hidden="1" customHeight="1" thickBot="1" x14ac:dyDescent="0.25">
      <c r="A30" s="57"/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60"/>
      <c r="P30" s="60"/>
      <c r="Q30" s="60"/>
      <c r="R30" s="60"/>
      <c r="S30" s="60"/>
      <c r="T30" s="60"/>
      <c r="U30" s="60"/>
      <c r="V30" s="60"/>
      <c r="W30" s="63" t="s">
        <v>76</v>
      </c>
      <c r="X30" s="63"/>
      <c r="Y30" s="63"/>
      <c r="Z30" s="63"/>
      <c r="AA30" s="63"/>
      <c r="AB30" s="63"/>
      <c r="AC30" s="63"/>
      <c r="AD30" s="47" t="s">
        <v>39</v>
      </c>
      <c r="AE30" s="48"/>
      <c r="AF30" s="47" t="s">
        <v>39</v>
      </c>
      <c r="AG30" s="48"/>
      <c r="AH30" s="47" t="s">
        <v>39</v>
      </c>
      <c r="AI30" s="48"/>
      <c r="AJ30" s="47" t="s">
        <v>40</v>
      </c>
      <c r="AK30" s="48"/>
      <c r="AL30" s="47" t="s">
        <v>40</v>
      </c>
      <c r="AM30" s="48"/>
      <c r="AN30" s="47" t="s">
        <v>39</v>
      </c>
      <c r="AO30" s="48"/>
      <c r="AP30" s="47" t="s">
        <v>39</v>
      </c>
      <c r="AQ30" s="48"/>
      <c r="AR30" s="47" t="s">
        <v>39</v>
      </c>
      <c r="AS30" s="48"/>
      <c r="AT30" s="47" t="s">
        <v>39</v>
      </c>
      <c r="AU30" s="48"/>
      <c r="AV30" s="47" t="s">
        <v>39</v>
      </c>
      <c r="AW30" s="48"/>
      <c r="AX30" s="47" t="s">
        <v>40</v>
      </c>
      <c r="AY30" s="48"/>
      <c r="AZ30" s="47" t="s">
        <v>40</v>
      </c>
      <c r="BA30" s="48"/>
      <c r="BB30" s="47" t="s">
        <v>39</v>
      </c>
      <c r="BC30" s="48"/>
      <c r="BD30" s="47" t="s">
        <v>39</v>
      </c>
      <c r="BE30" s="48"/>
      <c r="BF30" s="47" t="s">
        <v>39</v>
      </c>
      <c r="BG30" s="48"/>
      <c r="BH30" s="56">
        <f>COUNTIFS(AB30:BG30,"Ф")</f>
        <v>11</v>
      </c>
      <c r="BI30" s="56"/>
      <c r="BJ30" s="56"/>
      <c r="BK30" s="56"/>
      <c r="BL30" s="47" t="s">
        <v>39</v>
      </c>
      <c r="BM30" s="48"/>
      <c r="BN30" s="47" t="s">
        <v>39</v>
      </c>
      <c r="BO30" s="48"/>
      <c r="BP30" s="47" t="s">
        <v>40</v>
      </c>
      <c r="BQ30" s="48"/>
      <c r="BR30" s="47" t="s">
        <v>40</v>
      </c>
      <c r="BS30" s="48"/>
      <c r="BT30" s="47" t="s">
        <v>39</v>
      </c>
      <c r="BU30" s="48"/>
      <c r="BV30" s="47" t="s">
        <v>39</v>
      </c>
      <c r="BW30" s="48"/>
      <c r="BX30" s="47" t="s">
        <v>39</v>
      </c>
      <c r="BY30" s="48"/>
      <c r="BZ30" s="47" t="s">
        <v>39</v>
      </c>
      <c r="CA30" s="48"/>
      <c r="CB30" s="47" t="s">
        <v>39</v>
      </c>
      <c r="CC30" s="48"/>
      <c r="CD30" s="47" t="s">
        <v>40</v>
      </c>
      <c r="CE30" s="48"/>
      <c r="CF30" s="47" t="s">
        <v>40</v>
      </c>
      <c r="CG30" s="48"/>
      <c r="CH30" s="47" t="s">
        <v>39</v>
      </c>
      <c r="CI30" s="48"/>
      <c r="CJ30" s="47" t="s">
        <v>39</v>
      </c>
      <c r="CK30" s="48"/>
      <c r="CL30" s="47" t="s">
        <v>39</v>
      </c>
      <c r="CM30" s="48"/>
      <c r="CN30" s="47" t="s">
        <v>39</v>
      </c>
      <c r="CO30" s="48"/>
      <c r="CP30" s="47" t="s">
        <v>39</v>
      </c>
      <c r="CQ30" s="48"/>
      <c r="CR30" s="91">
        <f>COUNTIFS(BL30:CQ30,"Ф") + BH30</f>
        <v>23</v>
      </c>
      <c r="CS30" s="91"/>
      <c r="CT30" s="91"/>
      <c r="CU30" s="91"/>
      <c r="CV30" s="19"/>
      <c r="CW30" s="19"/>
      <c r="CX30" s="19"/>
    </row>
    <row r="31" spans="1:227" ht="17.100000000000001" hidden="1" customHeight="1" thickBot="1" x14ac:dyDescent="0.25">
      <c r="A31" s="57" t="s">
        <v>45</v>
      </c>
      <c r="B31" s="57"/>
      <c r="C31" s="65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7"/>
      <c r="O31" s="71" t="s">
        <v>63</v>
      </c>
      <c r="P31" s="72"/>
      <c r="Q31" s="72"/>
      <c r="R31" s="73"/>
      <c r="S31" s="71"/>
      <c r="T31" s="72"/>
      <c r="U31" s="72"/>
      <c r="V31" s="73"/>
      <c r="W31" s="61" t="s">
        <v>44</v>
      </c>
      <c r="X31" s="61"/>
      <c r="Y31" s="61"/>
      <c r="Z31" s="61"/>
      <c r="AA31" s="61"/>
      <c r="AB31" s="61"/>
      <c r="AC31" s="61"/>
      <c r="AD31" s="51">
        <v>8</v>
      </c>
      <c r="AE31" s="52"/>
      <c r="AF31" s="51">
        <v>8</v>
      </c>
      <c r="AG31" s="52"/>
      <c r="AH31" s="51">
        <v>8</v>
      </c>
      <c r="AI31" s="52"/>
      <c r="AJ31" s="51"/>
      <c r="AK31" s="52"/>
      <c r="AL31" s="51"/>
      <c r="AM31" s="52"/>
      <c r="AN31" s="51">
        <v>8</v>
      </c>
      <c r="AO31" s="52"/>
      <c r="AP31" s="51">
        <v>8</v>
      </c>
      <c r="AQ31" s="52"/>
      <c r="AR31" s="51">
        <v>8</v>
      </c>
      <c r="AS31" s="52"/>
      <c r="AT31" s="51">
        <v>8</v>
      </c>
      <c r="AU31" s="52"/>
      <c r="AV31" s="51">
        <v>8</v>
      </c>
      <c r="AW31" s="52"/>
      <c r="AX31" s="51"/>
      <c r="AY31" s="52"/>
      <c r="AZ31" s="51"/>
      <c r="BA31" s="52"/>
      <c r="BB31" s="51">
        <v>8</v>
      </c>
      <c r="BC31" s="52"/>
      <c r="BD31" s="51">
        <v>8</v>
      </c>
      <c r="BE31" s="52"/>
      <c r="BF31" s="51">
        <v>8</v>
      </c>
      <c r="BG31" s="52"/>
      <c r="BH31" s="62">
        <f>SUM(AD31:BG31)</f>
        <v>88</v>
      </c>
      <c r="BI31" s="62"/>
      <c r="BJ31" s="62"/>
      <c r="BK31" s="62"/>
      <c r="BL31" s="51">
        <v>8</v>
      </c>
      <c r="BM31" s="52"/>
      <c r="BN31" s="51">
        <v>8</v>
      </c>
      <c r="BO31" s="52"/>
      <c r="BP31" s="51"/>
      <c r="BQ31" s="52"/>
      <c r="BR31" s="51"/>
      <c r="BS31" s="52"/>
      <c r="BT31" s="51">
        <v>8</v>
      </c>
      <c r="BU31" s="52"/>
      <c r="BV31" s="51">
        <v>8</v>
      </c>
      <c r="BW31" s="52"/>
      <c r="BX31" s="51">
        <v>8</v>
      </c>
      <c r="BY31" s="52"/>
      <c r="BZ31" s="51">
        <v>8</v>
      </c>
      <c r="CA31" s="52"/>
      <c r="CB31" s="51">
        <v>8</v>
      </c>
      <c r="CC31" s="52"/>
      <c r="CD31" s="51"/>
      <c r="CE31" s="52"/>
      <c r="CF31" s="51"/>
      <c r="CG31" s="52"/>
      <c r="CH31" s="51">
        <v>8</v>
      </c>
      <c r="CI31" s="52"/>
      <c r="CJ31" s="51">
        <v>8</v>
      </c>
      <c r="CK31" s="52"/>
      <c r="CL31" s="51">
        <v>8</v>
      </c>
      <c r="CM31" s="52"/>
      <c r="CN31" s="51">
        <v>8</v>
      </c>
      <c r="CO31" s="52"/>
      <c r="CP31" s="51">
        <v>8</v>
      </c>
      <c r="CQ31" s="52"/>
      <c r="CR31" s="92">
        <f>SUM(BL31:CQ31) +BH31</f>
        <v>184</v>
      </c>
      <c r="CS31" s="92"/>
      <c r="CT31" s="92"/>
      <c r="CU31" s="92"/>
      <c r="CV31" s="19"/>
      <c r="CW31" s="19"/>
      <c r="CX31" s="19"/>
    </row>
    <row r="32" spans="1:227" ht="17.100000000000001" hidden="1" customHeight="1" thickBot="1" x14ac:dyDescent="0.25">
      <c r="A32" s="57"/>
      <c r="B32" s="57"/>
      <c r="C32" s="68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70"/>
      <c r="O32" s="74"/>
      <c r="P32" s="75"/>
      <c r="Q32" s="75"/>
      <c r="R32" s="76"/>
      <c r="S32" s="74"/>
      <c r="T32" s="75"/>
      <c r="U32" s="75"/>
      <c r="V32" s="76"/>
      <c r="W32" s="63" t="s">
        <v>75</v>
      </c>
      <c r="X32" s="63"/>
      <c r="Y32" s="63"/>
      <c r="Z32" s="63"/>
      <c r="AA32" s="63"/>
      <c r="AB32" s="63"/>
      <c r="AC32" s="63"/>
      <c r="AD32" s="47" t="s">
        <v>39</v>
      </c>
      <c r="AE32" s="48"/>
      <c r="AF32" s="47" t="s">
        <v>39</v>
      </c>
      <c r="AG32" s="48"/>
      <c r="AH32" s="47" t="s">
        <v>39</v>
      </c>
      <c r="AI32" s="48"/>
      <c r="AJ32" s="47" t="s">
        <v>40</v>
      </c>
      <c r="AK32" s="48"/>
      <c r="AL32" s="47" t="s">
        <v>40</v>
      </c>
      <c r="AM32" s="48"/>
      <c r="AN32" s="47" t="s">
        <v>39</v>
      </c>
      <c r="AO32" s="48"/>
      <c r="AP32" s="47" t="s">
        <v>39</v>
      </c>
      <c r="AQ32" s="48"/>
      <c r="AR32" s="47" t="s">
        <v>39</v>
      </c>
      <c r="AS32" s="48"/>
      <c r="AT32" s="47" t="s">
        <v>39</v>
      </c>
      <c r="AU32" s="48"/>
      <c r="AV32" s="47" t="s">
        <v>39</v>
      </c>
      <c r="AW32" s="48"/>
      <c r="AX32" s="47" t="s">
        <v>40</v>
      </c>
      <c r="AY32" s="48"/>
      <c r="AZ32" s="47" t="s">
        <v>40</v>
      </c>
      <c r="BA32" s="48"/>
      <c r="BB32" s="47" t="s">
        <v>39</v>
      </c>
      <c r="BC32" s="48"/>
      <c r="BD32" s="47" t="s">
        <v>39</v>
      </c>
      <c r="BE32" s="48"/>
      <c r="BF32" s="47" t="s">
        <v>39</v>
      </c>
      <c r="BG32" s="48"/>
      <c r="BH32" s="56">
        <f>COUNTIFS(AB32:BG32,"Ф")</f>
        <v>11</v>
      </c>
      <c r="BI32" s="56"/>
      <c r="BJ32" s="56"/>
      <c r="BK32" s="56"/>
      <c r="BL32" s="47" t="s">
        <v>39</v>
      </c>
      <c r="BM32" s="48"/>
      <c r="BN32" s="47" t="s">
        <v>39</v>
      </c>
      <c r="BO32" s="48"/>
      <c r="BP32" s="47" t="s">
        <v>40</v>
      </c>
      <c r="BQ32" s="48"/>
      <c r="BR32" s="47" t="s">
        <v>40</v>
      </c>
      <c r="BS32" s="48"/>
      <c r="BT32" s="47" t="s">
        <v>39</v>
      </c>
      <c r="BU32" s="48"/>
      <c r="BV32" s="47" t="s">
        <v>39</v>
      </c>
      <c r="BW32" s="48"/>
      <c r="BX32" s="47" t="s">
        <v>39</v>
      </c>
      <c r="BY32" s="48"/>
      <c r="BZ32" s="47" t="s">
        <v>39</v>
      </c>
      <c r="CA32" s="48"/>
      <c r="CB32" s="47" t="s">
        <v>39</v>
      </c>
      <c r="CC32" s="48"/>
      <c r="CD32" s="47" t="s">
        <v>40</v>
      </c>
      <c r="CE32" s="48"/>
      <c r="CF32" s="47" t="s">
        <v>40</v>
      </c>
      <c r="CG32" s="48"/>
      <c r="CH32" s="47" t="s">
        <v>39</v>
      </c>
      <c r="CI32" s="48"/>
      <c r="CJ32" s="47" t="s">
        <v>39</v>
      </c>
      <c r="CK32" s="48"/>
      <c r="CL32" s="47" t="s">
        <v>39</v>
      </c>
      <c r="CM32" s="48"/>
      <c r="CN32" s="47" t="s">
        <v>39</v>
      </c>
      <c r="CO32" s="48"/>
      <c r="CP32" s="47" t="s">
        <v>39</v>
      </c>
      <c r="CQ32" s="48"/>
      <c r="CR32" s="47">
        <f>COUNTIFS(BL32:CQ32,"Ф") + BH32</f>
        <v>23</v>
      </c>
      <c r="CS32" s="49"/>
      <c r="CT32" s="49"/>
      <c r="CU32" s="50"/>
      <c r="CV32" s="19"/>
      <c r="CW32" s="19"/>
      <c r="CX32" s="19"/>
    </row>
    <row r="33" spans="1:118" ht="17.100000000000001" hidden="1" customHeight="1" thickBot="1" x14ac:dyDescent="0.25">
      <c r="A33" s="57" t="s">
        <v>46</v>
      </c>
      <c r="B33" s="57"/>
      <c r="C33" s="58" t="s">
        <v>88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 t="s">
        <v>89</v>
      </c>
      <c r="P33" s="59"/>
      <c r="Q33" s="59"/>
      <c r="R33" s="59"/>
      <c r="S33" s="60"/>
      <c r="T33" s="60"/>
      <c r="U33" s="60"/>
      <c r="V33" s="60"/>
      <c r="W33" s="61" t="s">
        <v>85</v>
      </c>
      <c r="X33" s="61"/>
      <c r="Y33" s="61"/>
      <c r="Z33" s="61"/>
      <c r="AA33" s="61"/>
      <c r="AB33" s="61"/>
      <c r="AC33" s="61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>
        <v>4</v>
      </c>
      <c r="AO33" s="64"/>
      <c r="AP33" s="64">
        <v>4</v>
      </c>
      <c r="AQ33" s="64"/>
      <c r="AR33" s="64">
        <v>4</v>
      </c>
      <c r="AS33" s="64"/>
      <c r="AT33" s="64">
        <v>4</v>
      </c>
      <c r="AU33" s="64"/>
      <c r="AV33" s="64">
        <v>4</v>
      </c>
      <c r="AW33" s="64"/>
      <c r="AX33" s="64"/>
      <c r="AY33" s="64"/>
      <c r="AZ33" s="64"/>
      <c r="BA33" s="64"/>
      <c r="BB33" s="64">
        <v>4</v>
      </c>
      <c r="BC33" s="64"/>
      <c r="BD33" s="64">
        <v>4</v>
      </c>
      <c r="BE33" s="64"/>
      <c r="BF33" s="64">
        <v>4</v>
      </c>
      <c r="BG33" s="64"/>
      <c r="BH33" s="62">
        <f>SUM(AD33:BG33)</f>
        <v>32</v>
      </c>
      <c r="BI33" s="62"/>
      <c r="BJ33" s="62"/>
      <c r="BK33" s="62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>
        <v>4</v>
      </c>
      <c r="BW33" s="64"/>
      <c r="BX33" s="64">
        <v>4</v>
      </c>
      <c r="BY33" s="64"/>
      <c r="BZ33" s="64">
        <v>4</v>
      </c>
      <c r="CA33" s="64"/>
      <c r="CB33" s="64">
        <v>4</v>
      </c>
      <c r="CC33" s="64"/>
      <c r="CD33" s="64"/>
      <c r="CE33" s="64"/>
      <c r="CF33" s="64"/>
      <c r="CG33" s="64"/>
      <c r="CH33" s="64">
        <v>4</v>
      </c>
      <c r="CI33" s="64"/>
      <c r="CJ33" s="64">
        <v>4</v>
      </c>
      <c r="CK33" s="64"/>
      <c r="CL33" s="64">
        <v>4</v>
      </c>
      <c r="CM33" s="64"/>
      <c r="CN33" s="64">
        <v>4</v>
      </c>
      <c r="CO33" s="64"/>
      <c r="CP33" s="64">
        <v>4</v>
      </c>
      <c r="CQ33" s="64"/>
      <c r="CR33" s="53">
        <f>SUM(BL33:CQ33) +BH33</f>
        <v>68</v>
      </c>
      <c r="CS33" s="54"/>
      <c r="CT33" s="54"/>
      <c r="CU33" s="55"/>
      <c r="CV33" s="19"/>
      <c r="CW33" s="19"/>
      <c r="CX33" s="19"/>
    </row>
    <row r="34" spans="1:118" ht="17.100000000000001" hidden="1" customHeight="1" thickBot="1" x14ac:dyDescent="0.25">
      <c r="A34" s="57"/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  <c r="P34" s="59"/>
      <c r="Q34" s="59"/>
      <c r="R34" s="59"/>
      <c r="S34" s="60"/>
      <c r="T34" s="60"/>
      <c r="U34" s="60"/>
      <c r="V34" s="60"/>
      <c r="W34" s="63" t="s">
        <v>117</v>
      </c>
      <c r="X34" s="63"/>
      <c r="Y34" s="63"/>
      <c r="Z34" s="63"/>
      <c r="AA34" s="63"/>
      <c r="AB34" s="63"/>
      <c r="AC34" s="63"/>
      <c r="AD34" s="47" t="s">
        <v>108</v>
      </c>
      <c r="AE34" s="48"/>
      <c r="AF34" s="47" t="s">
        <v>108</v>
      </c>
      <c r="AG34" s="48"/>
      <c r="AH34" s="47" t="s">
        <v>108</v>
      </c>
      <c r="AI34" s="48"/>
      <c r="AJ34" s="47" t="s">
        <v>108</v>
      </c>
      <c r="AK34" s="48"/>
      <c r="AL34" s="47" t="s">
        <v>40</v>
      </c>
      <c r="AM34" s="48"/>
      <c r="AN34" s="47" t="s">
        <v>39</v>
      </c>
      <c r="AO34" s="48"/>
      <c r="AP34" s="47" t="s">
        <v>39</v>
      </c>
      <c r="AQ34" s="48"/>
      <c r="AR34" s="47" t="s">
        <v>39</v>
      </c>
      <c r="AS34" s="48"/>
      <c r="AT34" s="47" t="s">
        <v>39</v>
      </c>
      <c r="AU34" s="48"/>
      <c r="AV34" s="47" t="s">
        <v>39</v>
      </c>
      <c r="AW34" s="48"/>
      <c r="AX34" s="47" t="s">
        <v>40</v>
      </c>
      <c r="AY34" s="48"/>
      <c r="AZ34" s="47" t="s">
        <v>40</v>
      </c>
      <c r="BA34" s="48"/>
      <c r="BB34" s="47" t="s">
        <v>39</v>
      </c>
      <c r="BC34" s="48"/>
      <c r="BD34" s="47" t="s">
        <v>39</v>
      </c>
      <c r="BE34" s="48"/>
      <c r="BF34" s="47" t="s">
        <v>39</v>
      </c>
      <c r="BG34" s="48"/>
      <c r="BH34" s="56">
        <f>COUNTIFS(AB34:BG34,"Ф")</f>
        <v>8</v>
      </c>
      <c r="BI34" s="56"/>
      <c r="BJ34" s="56"/>
      <c r="BK34" s="56"/>
      <c r="BL34" s="47" t="s">
        <v>145</v>
      </c>
      <c r="BM34" s="48"/>
      <c r="BN34" s="47" t="s">
        <v>145</v>
      </c>
      <c r="BO34" s="48"/>
      <c r="BP34" s="47" t="s">
        <v>145</v>
      </c>
      <c r="BQ34" s="48"/>
      <c r="BR34" s="47" t="s">
        <v>145</v>
      </c>
      <c r="BS34" s="48"/>
      <c r="BT34" s="47" t="s">
        <v>145</v>
      </c>
      <c r="BU34" s="48"/>
      <c r="BV34" s="47" t="s">
        <v>39</v>
      </c>
      <c r="BW34" s="48"/>
      <c r="BX34" s="47" t="s">
        <v>39</v>
      </c>
      <c r="BY34" s="48"/>
      <c r="BZ34" s="47" t="s">
        <v>39</v>
      </c>
      <c r="CA34" s="48"/>
      <c r="CB34" s="47" t="s">
        <v>39</v>
      </c>
      <c r="CC34" s="48"/>
      <c r="CD34" s="47" t="s">
        <v>40</v>
      </c>
      <c r="CE34" s="48"/>
      <c r="CF34" s="47" t="s">
        <v>40</v>
      </c>
      <c r="CG34" s="48"/>
      <c r="CH34" s="47" t="s">
        <v>39</v>
      </c>
      <c r="CI34" s="48"/>
      <c r="CJ34" s="47" t="s">
        <v>39</v>
      </c>
      <c r="CK34" s="48"/>
      <c r="CL34" s="47" t="s">
        <v>39</v>
      </c>
      <c r="CM34" s="48"/>
      <c r="CN34" s="47" t="s">
        <v>39</v>
      </c>
      <c r="CO34" s="48"/>
      <c r="CP34" s="47" t="s">
        <v>39</v>
      </c>
      <c r="CQ34" s="48"/>
      <c r="CR34" s="47">
        <f>COUNTIFS(BL34:CQ34,"Ф") + BH34</f>
        <v>17</v>
      </c>
      <c r="CS34" s="49"/>
      <c r="CT34" s="49"/>
      <c r="CU34" s="50"/>
      <c r="CV34" s="19"/>
      <c r="CW34" s="19"/>
      <c r="CX34" s="19"/>
    </row>
    <row r="35" spans="1:118" ht="17.100000000000001" hidden="1" customHeight="1" thickBot="1" x14ac:dyDescent="0.25">
      <c r="A35" s="57" t="s">
        <v>65</v>
      </c>
      <c r="B35" s="57"/>
      <c r="C35" s="58" t="s">
        <v>72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9" t="s">
        <v>51</v>
      </c>
      <c r="P35" s="59"/>
      <c r="Q35" s="59"/>
      <c r="R35" s="59"/>
      <c r="S35" s="60"/>
      <c r="T35" s="60"/>
      <c r="U35" s="60"/>
      <c r="V35" s="60"/>
      <c r="W35" s="61" t="s">
        <v>50</v>
      </c>
      <c r="X35" s="61"/>
      <c r="Y35" s="61"/>
      <c r="Z35" s="61"/>
      <c r="AA35" s="61"/>
      <c r="AB35" s="61"/>
      <c r="AC35" s="61"/>
      <c r="AD35" s="51">
        <v>8</v>
      </c>
      <c r="AE35" s="52"/>
      <c r="AF35" s="51">
        <v>8</v>
      </c>
      <c r="AG35" s="52"/>
      <c r="AH35" s="51">
        <v>8</v>
      </c>
      <c r="AI35" s="52"/>
      <c r="AJ35" s="51"/>
      <c r="AK35" s="52"/>
      <c r="AL35" s="51"/>
      <c r="AM35" s="52"/>
      <c r="AN35" s="51">
        <v>8</v>
      </c>
      <c r="AO35" s="52"/>
      <c r="AP35" s="51">
        <v>8</v>
      </c>
      <c r="AQ35" s="52"/>
      <c r="AR35" s="51">
        <v>8</v>
      </c>
      <c r="AS35" s="52"/>
      <c r="AT35" s="51">
        <v>8</v>
      </c>
      <c r="AU35" s="52"/>
      <c r="AV35" s="51">
        <v>8</v>
      </c>
      <c r="AW35" s="52"/>
      <c r="AX35" s="51"/>
      <c r="AY35" s="52"/>
      <c r="AZ35" s="51"/>
      <c r="BA35" s="52"/>
      <c r="BB35" s="51">
        <v>8</v>
      </c>
      <c r="BC35" s="52"/>
      <c r="BD35" s="51">
        <v>8</v>
      </c>
      <c r="BE35" s="52"/>
      <c r="BF35" s="51">
        <v>8</v>
      </c>
      <c r="BG35" s="52"/>
      <c r="BH35" s="62">
        <f>SUM(AD35:BG35)</f>
        <v>88</v>
      </c>
      <c r="BI35" s="62"/>
      <c r="BJ35" s="62"/>
      <c r="BK35" s="62"/>
      <c r="BL35" s="51">
        <v>8</v>
      </c>
      <c r="BM35" s="52"/>
      <c r="BN35" s="51">
        <v>8</v>
      </c>
      <c r="BO35" s="52"/>
      <c r="BP35" s="51"/>
      <c r="BQ35" s="52"/>
      <c r="BR35" s="51"/>
      <c r="BS35" s="52"/>
      <c r="BT35" s="51">
        <v>8</v>
      </c>
      <c r="BU35" s="52"/>
      <c r="BV35" s="51">
        <v>8</v>
      </c>
      <c r="BW35" s="52"/>
      <c r="BX35" s="51">
        <v>8</v>
      </c>
      <c r="BY35" s="52"/>
      <c r="BZ35" s="51">
        <v>8</v>
      </c>
      <c r="CA35" s="52"/>
      <c r="CB35" s="51">
        <v>8</v>
      </c>
      <c r="CC35" s="52"/>
      <c r="CD35" s="51"/>
      <c r="CE35" s="52"/>
      <c r="CF35" s="51"/>
      <c r="CG35" s="52"/>
      <c r="CH35" s="51">
        <v>8</v>
      </c>
      <c r="CI35" s="52"/>
      <c r="CJ35" s="51">
        <v>8</v>
      </c>
      <c r="CK35" s="52"/>
      <c r="CL35" s="51">
        <v>8</v>
      </c>
      <c r="CM35" s="52"/>
      <c r="CN35" s="51">
        <v>8</v>
      </c>
      <c r="CO35" s="52"/>
      <c r="CP35" s="51">
        <v>8</v>
      </c>
      <c r="CQ35" s="52"/>
      <c r="CR35" s="53">
        <f>SUM(BL35:CQ35) +BH35</f>
        <v>184</v>
      </c>
      <c r="CS35" s="54"/>
      <c r="CT35" s="54"/>
      <c r="CU35" s="55"/>
      <c r="DN35" s="20"/>
    </row>
    <row r="36" spans="1:118" ht="17.100000000000001" hidden="1" customHeight="1" thickBot="1" x14ac:dyDescent="0.25">
      <c r="A36" s="57"/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  <c r="P36" s="59"/>
      <c r="Q36" s="59"/>
      <c r="R36" s="59"/>
      <c r="S36" s="60"/>
      <c r="T36" s="60"/>
      <c r="U36" s="60"/>
      <c r="V36" s="60"/>
      <c r="W36" s="63" t="s">
        <v>84</v>
      </c>
      <c r="X36" s="63"/>
      <c r="Y36" s="63"/>
      <c r="Z36" s="63"/>
      <c r="AA36" s="63"/>
      <c r="AB36" s="63"/>
      <c r="AC36" s="63"/>
      <c r="AD36" s="47" t="s">
        <v>39</v>
      </c>
      <c r="AE36" s="48"/>
      <c r="AF36" s="47" t="s">
        <v>39</v>
      </c>
      <c r="AG36" s="48"/>
      <c r="AH36" s="47" t="s">
        <v>39</v>
      </c>
      <c r="AI36" s="48"/>
      <c r="AJ36" s="47" t="s">
        <v>40</v>
      </c>
      <c r="AK36" s="48"/>
      <c r="AL36" s="47" t="s">
        <v>40</v>
      </c>
      <c r="AM36" s="48"/>
      <c r="AN36" s="47" t="s">
        <v>39</v>
      </c>
      <c r="AO36" s="48"/>
      <c r="AP36" s="47" t="s">
        <v>39</v>
      </c>
      <c r="AQ36" s="48"/>
      <c r="AR36" s="47" t="s">
        <v>39</v>
      </c>
      <c r="AS36" s="48"/>
      <c r="AT36" s="47" t="s">
        <v>39</v>
      </c>
      <c r="AU36" s="48"/>
      <c r="AV36" s="47" t="s">
        <v>39</v>
      </c>
      <c r="AW36" s="48"/>
      <c r="AX36" s="47" t="s">
        <v>40</v>
      </c>
      <c r="AY36" s="48"/>
      <c r="AZ36" s="47" t="s">
        <v>40</v>
      </c>
      <c r="BA36" s="48"/>
      <c r="BB36" s="47" t="s">
        <v>39</v>
      </c>
      <c r="BC36" s="48"/>
      <c r="BD36" s="47" t="s">
        <v>39</v>
      </c>
      <c r="BE36" s="48"/>
      <c r="BF36" s="47" t="s">
        <v>39</v>
      </c>
      <c r="BG36" s="48"/>
      <c r="BH36" s="56">
        <f>COUNTIFS(AB36:BG36,"Ф")</f>
        <v>11</v>
      </c>
      <c r="BI36" s="56"/>
      <c r="BJ36" s="56"/>
      <c r="BK36" s="56"/>
      <c r="BL36" s="47" t="s">
        <v>39</v>
      </c>
      <c r="BM36" s="48"/>
      <c r="BN36" s="47" t="s">
        <v>39</v>
      </c>
      <c r="BO36" s="48"/>
      <c r="BP36" s="47" t="s">
        <v>40</v>
      </c>
      <c r="BQ36" s="48"/>
      <c r="BR36" s="47" t="s">
        <v>40</v>
      </c>
      <c r="BS36" s="48"/>
      <c r="BT36" s="47" t="s">
        <v>39</v>
      </c>
      <c r="BU36" s="48"/>
      <c r="BV36" s="47" t="s">
        <v>39</v>
      </c>
      <c r="BW36" s="48"/>
      <c r="BX36" s="47" t="s">
        <v>39</v>
      </c>
      <c r="BY36" s="48"/>
      <c r="BZ36" s="47" t="s">
        <v>39</v>
      </c>
      <c r="CA36" s="48"/>
      <c r="CB36" s="47" t="s">
        <v>39</v>
      </c>
      <c r="CC36" s="48"/>
      <c r="CD36" s="47" t="s">
        <v>40</v>
      </c>
      <c r="CE36" s="48"/>
      <c r="CF36" s="47" t="s">
        <v>40</v>
      </c>
      <c r="CG36" s="48"/>
      <c r="CH36" s="47" t="s">
        <v>39</v>
      </c>
      <c r="CI36" s="48"/>
      <c r="CJ36" s="47" t="s">
        <v>39</v>
      </c>
      <c r="CK36" s="48"/>
      <c r="CL36" s="47" t="s">
        <v>39</v>
      </c>
      <c r="CM36" s="48"/>
      <c r="CN36" s="47" t="s">
        <v>39</v>
      </c>
      <c r="CO36" s="48"/>
      <c r="CP36" s="47" t="s">
        <v>39</v>
      </c>
      <c r="CQ36" s="48"/>
      <c r="CR36" s="47">
        <f>COUNTIFS(BL36:CQ36,"Ф") + BH36</f>
        <v>23</v>
      </c>
      <c r="CS36" s="49"/>
      <c r="CT36" s="49"/>
      <c r="CU36" s="50"/>
      <c r="DN36" s="20"/>
    </row>
    <row r="37" spans="1:118" ht="17.100000000000001" hidden="1" customHeight="1" thickBot="1" x14ac:dyDescent="0.25">
      <c r="A37" s="57" t="s">
        <v>47</v>
      </c>
      <c r="B37" s="57"/>
      <c r="C37" s="58" t="s">
        <v>77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9" t="s">
        <v>79</v>
      </c>
      <c r="P37" s="59"/>
      <c r="Q37" s="59"/>
      <c r="R37" s="59"/>
      <c r="S37" s="60"/>
      <c r="T37" s="60"/>
      <c r="U37" s="60"/>
      <c r="V37" s="60"/>
      <c r="W37" s="61" t="s">
        <v>103</v>
      </c>
      <c r="X37" s="61"/>
      <c r="Y37" s="61"/>
      <c r="Z37" s="61"/>
      <c r="AA37" s="61"/>
      <c r="AB37" s="61"/>
      <c r="AC37" s="61"/>
      <c r="AD37" s="51">
        <v>8</v>
      </c>
      <c r="AE37" s="52"/>
      <c r="AF37" s="51">
        <v>8</v>
      </c>
      <c r="AG37" s="52"/>
      <c r="AH37" s="51">
        <v>8</v>
      </c>
      <c r="AI37" s="52"/>
      <c r="AJ37" s="51"/>
      <c r="AK37" s="52"/>
      <c r="AL37" s="51"/>
      <c r="AM37" s="52"/>
      <c r="AN37" s="51">
        <v>8</v>
      </c>
      <c r="AO37" s="52"/>
      <c r="AP37" s="51">
        <v>8</v>
      </c>
      <c r="AQ37" s="52"/>
      <c r="AR37" s="51">
        <v>8</v>
      </c>
      <c r="AS37" s="52"/>
      <c r="AT37" s="51">
        <v>8</v>
      </c>
      <c r="AU37" s="52"/>
      <c r="AV37" s="51">
        <v>8</v>
      </c>
      <c r="AW37" s="52"/>
      <c r="AX37" s="51"/>
      <c r="AY37" s="52"/>
      <c r="AZ37" s="51"/>
      <c r="BA37" s="52"/>
      <c r="BB37" s="51">
        <v>8</v>
      </c>
      <c r="BC37" s="52"/>
      <c r="BD37" s="51"/>
      <c r="BE37" s="52"/>
      <c r="BF37" s="51"/>
      <c r="BG37" s="52"/>
      <c r="BH37" s="62">
        <f>SUM(AD37:BG37)</f>
        <v>72</v>
      </c>
      <c r="BI37" s="62"/>
      <c r="BJ37" s="62"/>
      <c r="BK37" s="62"/>
      <c r="BL37" s="51"/>
      <c r="BM37" s="52"/>
      <c r="BN37" s="51"/>
      <c r="BO37" s="52"/>
      <c r="BP37" s="51"/>
      <c r="BQ37" s="52"/>
      <c r="BR37" s="51"/>
      <c r="BS37" s="52"/>
      <c r="BT37" s="51"/>
      <c r="BU37" s="52"/>
      <c r="BV37" s="51"/>
      <c r="BW37" s="52"/>
      <c r="BX37" s="51"/>
      <c r="BY37" s="52"/>
      <c r="BZ37" s="51"/>
      <c r="CA37" s="52"/>
      <c r="CB37" s="51"/>
      <c r="CC37" s="52"/>
      <c r="CD37" s="51"/>
      <c r="CE37" s="52"/>
      <c r="CF37" s="51"/>
      <c r="CG37" s="52"/>
      <c r="CH37" s="51"/>
      <c r="CI37" s="52"/>
      <c r="CJ37" s="51"/>
      <c r="CK37" s="52"/>
      <c r="CL37" s="51"/>
      <c r="CM37" s="52"/>
      <c r="CN37" s="51"/>
      <c r="CO37" s="52"/>
      <c r="CP37" s="51"/>
      <c r="CQ37" s="52"/>
      <c r="CR37" s="53">
        <f>SUM(BL37:CQ37) +BH37</f>
        <v>72</v>
      </c>
      <c r="CS37" s="54"/>
      <c r="CT37" s="54"/>
      <c r="CU37" s="55"/>
      <c r="DN37" s="20"/>
    </row>
    <row r="38" spans="1:118" ht="17.100000000000001" hidden="1" customHeight="1" thickBot="1" x14ac:dyDescent="0.25">
      <c r="A38" s="57"/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9"/>
      <c r="P38" s="59"/>
      <c r="Q38" s="59"/>
      <c r="R38" s="59"/>
      <c r="S38" s="60"/>
      <c r="T38" s="60"/>
      <c r="U38" s="60"/>
      <c r="V38" s="60"/>
      <c r="W38" s="63"/>
      <c r="X38" s="63"/>
      <c r="Y38" s="63"/>
      <c r="Z38" s="63"/>
      <c r="AA38" s="63"/>
      <c r="AB38" s="63"/>
      <c r="AC38" s="63"/>
      <c r="AD38" s="47" t="s">
        <v>39</v>
      </c>
      <c r="AE38" s="48"/>
      <c r="AF38" s="47" t="s">
        <v>39</v>
      </c>
      <c r="AG38" s="48"/>
      <c r="AH38" s="47" t="s">
        <v>39</v>
      </c>
      <c r="AI38" s="48"/>
      <c r="AJ38" s="47" t="s">
        <v>40</v>
      </c>
      <c r="AK38" s="48"/>
      <c r="AL38" s="47" t="s">
        <v>40</v>
      </c>
      <c r="AM38" s="48"/>
      <c r="AN38" s="47" t="s">
        <v>39</v>
      </c>
      <c r="AO38" s="48"/>
      <c r="AP38" s="47" t="s">
        <v>39</v>
      </c>
      <c r="AQ38" s="48"/>
      <c r="AR38" s="47" t="s">
        <v>39</v>
      </c>
      <c r="AS38" s="48"/>
      <c r="AT38" s="47" t="s">
        <v>39</v>
      </c>
      <c r="AU38" s="48"/>
      <c r="AV38" s="47" t="s">
        <v>39</v>
      </c>
      <c r="AW38" s="48"/>
      <c r="AX38" s="47" t="s">
        <v>40</v>
      </c>
      <c r="AY38" s="48"/>
      <c r="AZ38" s="47" t="s">
        <v>40</v>
      </c>
      <c r="BA38" s="48"/>
      <c r="BB38" s="47" t="s">
        <v>39</v>
      </c>
      <c r="BC38" s="48"/>
      <c r="BD38" s="47" t="s">
        <v>109</v>
      </c>
      <c r="BE38" s="48"/>
      <c r="BF38" s="47" t="s">
        <v>109</v>
      </c>
      <c r="BG38" s="48"/>
      <c r="BH38" s="56">
        <f>COUNTIFS(AB38:BG38,"Ф")</f>
        <v>9</v>
      </c>
      <c r="BI38" s="56"/>
      <c r="BJ38" s="56"/>
      <c r="BK38" s="56"/>
      <c r="BL38" s="47" t="s">
        <v>109</v>
      </c>
      <c r="BM38" s="48"/>
      <c r="BN38" s="47" t="s">
        <v>109</v>
      </c>
      <c r="BO38" s="48"/>
      <c r="BP38" s="47" t="s">
        <v>40</v>
      </c>
      <c r="BQ38" s="48"/>
      <c r="BR38" s="47" t="s">
        <v>40</v>
      </c>
      <c r="BS38" s="48"/>
      <c r="BT38" s="47" t="s">
        <v>109</v>
      </c>
      <c r="BU38" s="48"/>
      <c r="BV38" s="47" t="s">
        <v>109</v>
      </c>
      <c r="BW38" s="48"/>
      <c r="BX38" s="47" t="s">
        <v>109</v>
      </c>
      <c r="BY38" s="48"/>
      <c r="BZ38" s="47" t="s">
        <v>109</v>
      </c>
      <c r="CA38" s="48"/>
      <c r="CB38" s="47" t="s">
        <v>109</v>
      </c>
      <c r="CC38" s="48"/>
      <c r="CD38" s="47" t="s">
        <v>40</v>
      </c>
      <c r="CE38" s="48"/>
      <c r="CF38" s="47" t="s">
        <v>40</v>
      </c>
      <c r="CG38" s="48"/>
      <c r="CH38" s="47" t="s">
        <v>109</v>
      </c>
      <c r="CI38" s="48"/>
      <c r="CJ38" s="47" t="s">
        <v>109</v>
      </c>
      <c r="CK38" s="48"/>
      <c r="CL38" s="47" t="s">
        <v>109</v>
      </c>
      <c r="CM38" s="48"/>
      <c r="CN38" s="47" t="s">
        <v>109</v>
      </c>
      <c r="CO38" s="48"/>
      <c r="CP38" s="47" t="s">
        <v>109</v>
      </c>
      <c r="CQ38" s="48"/>
      <c r="CR38" s="47">
        <f>COUNTIFS(BL38:CQ38,"Ф") + BH38</f>
        <v>9</v>
      </c>
      <c r="CS38" s="49"/>
      <c r="CT38" s="49"/>
      <c r="CU38" s="50"/>
      <c r="DN38" s="20"/>
    </row>
    <row r="39" spans="1:118" ht="17.100000000000001" customHeight="1" thickBot="1" x14ac:dyDescent="0.25">
      <c r="A39" s="57" t="s">
        <v>48</v>
      </c>
      <c r="B39" s="57"/>
      <c r="C39" s="58" t="s">
        <v>124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9" t="s">
        <v>125</v>
      </c>
      <c r="P39" s="59"/>
      <c r="Q39" s="59"/>
      <c r="R39" s="59"/>
      <c r="S39" s="60"/>
      <c r="T39" s="60"/>
      <c r="U39" s="60"/>
      <c r="V39" s="60"/>
      <c r="W39" s="61" t="s">
        <v>126</v>
      </c>
      <c r="X39" s="61"/>
      <c r="Y39" s="61"/>
      <c r="Z39" s="61"/>
      <c r="AA39" s="61"/>
      <c r="AB39" s="61"/>
      <c r="AC39" s="61"/>
      <c r="AD39" s="51"/>
      <c r="AE39" s="52"/>
      <c r="AF39" s="51"/>
      <c r="AG39" s="52"/>
      <c r="AH39" s="51"/>
      <c r="AI39" s="52"/>
      <c r="AJ39" s="51"/>
      <c r="AK39" s="52"/>
      <c r="AL39" s="51"/>
      <c r="AM39" s="52"/>
      <c r="AN39" s="51"/>
      <c r="AO39" s="52"/>
      <c r="AP39" s="51"/>
      <c r="AQ39" s="52"/>
      <c r="AR39" s="51"/>
      <c r="AS39" s="52"/>
      <c r="AT39" s="51"/>
      <c r="AU39" s="52"/>
      <c r="AV39" s="51"/>
      <c r="AW39" s="52"/>
      <c r="AX39" s="51"/>
      <c r="AY39" s="52"/>
      <c r="AZ39" s="51"/>
      <c r="BA39" s="52"/>
      <c r="BB39" s="51"/>
      <c r="BC39" s="52"/>
      <c r="BD39" s="51"/>
      <c r="BE39" s="52"/>
      <c r="BF39" s="51"/>
      <c r="BG39" s="52"/>
      <c r="BH39" s="62">
        <f>SUM(AD39:BG39)</f>
        <v>0</v>
      </c>
      <c r="BI39" s="62"/>
      <c r="BJ39" s="62"/>
      <c r="BK39" s="62"/>
      <c r="BL39" s="51">
        <v>2</v>
      </c>
      <c r="BM39" s="52"/>
      <c r="BN39" s="51"/>
      <c r="BO39" s="52"/>
      <c r="BP39" s="51"/>
      <c r="BQ39" s="52"/>
      <c r="BR39" s="51"/>
      <c r="BS39" s="52"/>
      <c r="BT39" s="51"/>
      <c r="BU39" s="52"/>
      <c r="BV39" s="51"/>
      <c r="BW39" s="52"/>
      <c r="BX39" s="51">
        <v>4</v>
      </c>
      <c r="BY39" s="52"/>
      <c r="BZ39" s="51"/>
      <c r="CA39" s="52"/>
      <c r="CB39" s="51"/>
      <c r="CC39" s="52"/>
      <c r="CD39" s="51"/>
      <c r="CE39" s="52"/>
      <c r="CF39" s="51"/>
      <c r="CG39" s="52"/>
      <c r="CH39" s="51"/>
      <c r="CI39" s="52"/>
      <c r="CJ39" s="51"/>
      <c r="CK39" s="52"/>
      <c r="CL39" s="51">
        <v>4</v>
      </c>
      <c r="CM39" s="52"/>
      <c r="CN39" s="51"/>
      <c r="CO39" s="52"/>
      <c r="CP39" s="51"/>
      <c r="CQ39" s="52"/>
      <c r="CR39" s="53">
        <f>SUM(BL39:CQ39) +BH39</f>
        <v>10</v>
      </c>
      <c r="CS39" s="54"/>
      <c r="CT39" s="54"/>
      <c r="CU39" s="55"/>
      <c r="DN39" s="20"/>
    </row>
    <row r="40" spans="1:118" ht="17.100000000000001" customHeight="1" thickBot="1" x14ac:dyDescent="0.25">
      <c r="A40" s="57"/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9"/>
      <c r="P40" s="59"/>
      <c r="Q40" s="59"/>
      <c r="R40" s="59"/>
      <c r="S40" s="60"/>
      <c r="T40" s="60"/>
      <c r="U40" s="60"/>
      <c r="V40" s="60"/>
      <c r="W40" s="63"/>
      <c r="X40" s="63"/>
      <c r="Y40" s="63"/>
      <c r="Z40" s="63"/>
      <c r="AA40" s="63"/>
      <c r="AB40" s="63"/>
      <c r="AC40" s="63"/>
      <c r="AD40" s="47"/>
      <c r="AE40" s="48"/>
      <c r="AF40" s="47"/>
      <c r="AG40" s="48"/>
      <c r="AH40" s="47"/>
      <c r="AI40" s="48"/>
      <c r="AJ40" s="47"/>
      <c r="AK40" s="48"/>
      <c r="AL40" s="47"/>
      <c r="AM40" s="48"/>
      <c r="AN40" s="47"/>
      <c r="AO40" s="48"/>
      <c r="AP40" s="47"/>
      <c r="AQ40" s="48"/>
      <c r="AR40" s="47"/>
      <c r="AS40" s="48"/>
      <c r="AT40" s="47"/>
      <c r="AU40" s="48"/>
      <c r="AV40" s="47"/>
      <c r="AW40" s="48"/>
      <c r="AX40" s="47"/>
      <c r="AY40" s="48"/>
      <c r="AZ40" s="47"/>
      <c r="BA40" s="48"/>
      <c r="BB40" s="47"/>
      <c r="BC40" s="48"/>
      <c r="BD40" s="47"/>
      <c r="BE40" s="48"/>
      <c r="BF40" s="47" t="s">
        <v>40</v>
      </c>
      <c r="BG40" s="48"/>
      <c r="BH40" s="56">
        <f>COUNTIFS(AB40:BG40,"Ф")</f>
        <v>0</v>
      </c>
      <c r="BI40" s="56"/>
      <c r="BJ40" s="56"/>
      <c r="BK40" s="56"/>
      <c r="BL40" s="47" t="s">
        <v>39</v>
      </c>
      <c r="BM40" s="48"/>
      <c r="BN40" s="47" t="s">
        <v>40</v>
      </c>
      <c r="BO40" s="48"/>
      <c r="BP40" s="47" t="s">
        <v>40</v>
      </c>
      <c r="BQ40" s="48"/>
      <c r="BR40" s="47" t="s">
        <v>40</v>
      </c>
      <c r="BS40" s="48"/>
      <c r="BT40" s="47" t="s">
        <v>40</v>
      </c>
      <c r="BU40" s="48"/>
      <c r="BV40" s="47" t="s">
        <v>40</v>
      </c>
      <c r="BW40" s="48"/>
      <c r="BX40" s="47" t="s">
        <v>39</v>
      </c>
      <c r="BY40" s="48"/>
      <c r="BZ40" s="47" t="s">
        <v>40</v>
      </c>
      <c r="CA40" s="48"/>
      <c r="CB40" s="47" t="s">
        <v>40</v>
      </c>
      <c r="CC40" s="48"/>
      <c r="CD40" s="47" t="s">
        <v>40</v>
      </c>
      <c r="CE40" s="48"/>
      <c r="CF40" s="47" t="s">
        <v>40</v>
      </c>
      <c r="CG40" s="48"/>
      <c r="CH40" s="47" t="s">
        <v>40</v>
      </c>
      <c r="CI40" s="48"/>
      <c r="CJ40" s="47" t="s">
        <v>40</v>
      </c>
      <c r="CK40" s="48"/>
      <c r="CL40" s="47" t="s">
        <v>39</v>
      </c>
      <c r="CM40" s="48"/>
      <c r="CN40" s="47" t="s">
        <v>40</v>
      </c>
      <c r="CO40" s="48"/>
      <c r="CP40" s="47" t="s">
        <v>40</v>
      </c>
      <c r="CQ40" s="48"/>
      <c r="CR40" s="47">
        <f>COUNTIFS(BL40:CQ40,"Ф") + BH40</f>
        <v>3</v>
      </c>
      <c r="CS40" s="49"/>
      <c r="CT40" s="49"/>
      <c r="CU40" s="50"/>
      <c r="DN40" s="20"/>
    </row>
    <row r="41" spans="1:118" ht="17.100000000000001" customHeight="1" thickBot="1" x14ac:dyDescent="0.25">
      <c r="A41" s="57" t="s">
        <v>87</v>
      </c>
      <c r="B41" s="57"/>
      <c r="C41" s="58" t="s">
        <v>127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9" t="s">
        <v>128</v>
      </c>
      <c r="P41" s="59"/>
      <c r="Q41" s="59"/>
      <c r="R41" s="59"/>
      <c r="S41" s="60"/>
      <c r="T41" s="60"/>
      <c r="U41" s="60"/>
      <c r="V41" s="60"/>
      <c r="W41" s="61" t="s">
        <v>129</v>
      </c>
      <c r="X41" s="61"/>
      <c r="Y41" s="61"/>
      <c r="Z41" s="61"/>
      <c r="AA41" s="61"/>
      <c r="AB41" s="61"/>
      <c r="AC41" s="61"/>
      <c r="AD41" s="51"/>
      <c r="AE41" s="52"/>
      <c r="AF41" s="51"/>
      <c r="AG41" s="52"/>
      <c r="AH41" s="51"/>
      <c r="AI41" s="52"/>
      <c r="AJ41" s="51"/>
      <c r="AK41" s="52"/>
      <c r="AL41" s="51"/>
      <c r="AM41" s="52"/>
      <c r="AN41" s="51"/>
      <c r="AO41" s="52"/>
      <c r="AP41" s="51"/>
      <c r="AQ41" s="52"/>
      <c r="AR41" s="51"/>
      <c r="AS41" s="52"/>
      <c r="AT41" s="51"/>
      <c r="AU41" s="52"/>
      <c r="AV41" s="51"/>
      <c r="AW41" s="52"/>
      <c r="AX41" s="51"/>
      <c r="AY41" s="52"/>
      <c r="AZ41" s="51"/>
      <c r="BA41" s="52"/>
      <c r="BB41" s="51"/>
      <c r="BC41" s="52"/>
      <c r="BD41" s="51"/>
      <c r="BE41" s="52"/>
      <c r="BF41" s="51"/>
      <c r="BG41" s="52"/>
      <c r="BH41" s="62">
        <f>SUM(AD41:BG41)</f>
        <v>0</v>
      </c>
      <c r="BI41" s="62"/>
      <c r="BJ41" s="62"/>
      <c r="BK41" s="62"/>
      <c r="BL41" s="51"/>
      <c r="BM41" s="52"/>
      <c r="BN41" s="51"/>
      <c r="BO41" s="52"/>
      <c r="BP41" s="51"/>
      <c r="BQ41" s="52"/>
      <c r="BR41" s="51"/>
      <c r="BS41" s="52"/>
      <c r="BT41" s="51"/>
      <c r="BU41" s="52"/>
      <c r="BV41" s="51"/>
      <c r="BW41" s="52"/>
      <c r="BX41" s="51"/>
      <c r="BY41" s="52"/>
      <c r="BZ41" s="51"/>
      <c r="CA41" s="52"/>
      <c r="CB41" s="51">
        <v>2</v>
      </c>
      <c r="CC41" s="52"/>
      <c r="CD41" s="51"/>
      <c r="CE41" s="52"/>
      <c r="CF41" s="51"/>
      <c r="CG41" s="52"/>
      <c r="CH41" s="51"/>
      <c r="CI41" s="52"/>
      <c r="CJ41" s="51"/>
      <c r="CK41" s="52"/>
      <c r="CL41" s="51"/>
      <c r="CM41" s="52"/>
      <c r="CN41" s="51"/>
      <c r="CO41" s="52"/>
      <c r="CP41" s="51"/>
      <c r="CQ41" s="52"/>
      <c r="CR41" s="53">
        <f>SUM(BL41:CQ41) +BH41</f>
        <v>2</v>
      </c>
      <c r="CS41" s="54"/>
      <c r="CT41" s="54"/>
      <c r="CU41" s="55"/>
      <c r="DN41" s="20"/>
    </row>
    <row r="42" spans="1:118" ht="17.100000000000001" customHeight="1" thickBot="1" x14ac:dyDescent="0.25">
      <c r="A42" s="57"/>
      <c r="B42" s="5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9"/>
      <c r="P42" s="59"/>
      <c r="Q42" s="59"/>
      <c r="R42" s="59"/>
      <c r="S42" s="60"/>
      <c r="T42" s="60"/>
      <c r="U42" s="60"/>
      <c r="V42" s="60"/>
      <c r="W42" s="63"/>
      <c r="X42" s="63"/>
      <c r="Y42" s="63"/>
      <c r="Z42" s="63"/>
      <c r="AA42" s="63"/>
      <c r="AB42" s="63"/>
      <c r="AC42" s="63"/>
      <c r="AD42" s="47"/>
      <c r="AE42" s="48"/>
      <c r="AF42" s="47"/>
      <c r="AG42" s="48"/>
      <c r="AH42" s="47"/>
      <c r="AI42" s="48"/>
      <c r="AJ42" s="47"/>
      <c r="AK42" s="48"/>
      <c r="AL42" s="47"/>
      <c r="AM42" s="48"/>
      <c r="AN42" s="47"/>
      <c r="AO42" s="48"/>
      <c r="AP42" s="47"/>
      <c r="AQ42" s="48"/>
      <c r="AR42" s="47"/>
      <c r="AS42" s="48"/>
      <c r="AT42" s="47"/>
      <c r="AU42" s="48"/>
      <c r="AV42" s="47"/>
      <c r="AW42" s="48"/>
      <c r="AX42" s="47"/>
      <c r="AY42" s="48"/>
      <c r="AZ42" s="47"/>
      <c r="BA42" s="48"/>
      <c r="BB42" s="47"/>
      <c r="BC42" s="48"/>
      <c r="BD42" s="47"/>
      <c r="BE42" s="48"/>
      <c r="BF42" s="47" t="s">
        <v>40</v>
      </c>
      <c r="BG42" s="48"/>
      <c r="BH42" s="56">
        <f>COUNTIFS(AB42:BG42,"Ф")</f>
        <v>0</v>
      </c>
      <c r="BI42" s="56"/>
      <c r="BJ42" s="56"/>
      <c r="BK42" s="56"/>
      <c r="BL42" s="47" t="s">
        <v>40</v>
      </c>
      <c r="BM42" s="48"/>
      <c r="BN42" s="47" t="s">
        <v>40</v>
      </c>
      <c r="BO42" s="48"/>
      <c r="BP42" s="47" t="s">
        <v>40</v>
      </c>
      <c r="BQ42" s="48"/>
      <c r="BR42" s="47" t="s">
        <v>40</v>
      </c>
      <c r="BS42" s="48"/>
      <c r="BT42" s="47" t="s">
        <v>40</v>
      </c>
      <c r="BU42" s="48"/>
      <c r="BV42" s="47" t="s">
        <v>40</v>
      </c>
      <c r="BW42" s="48"/>
      <c r="BX42" s="47" t="s">
        <v>40</v>
      </c>
      <c r="BY42" s="48"/>
      <c r="BZ42" s="47" t="s">
        <v>40</v>
      </c>
      <c r="CA42" s="48"/>
      <c r="CB42" s="47" t="s">
        <v>39</v>
      </c>
      <c r="CC42" s="48"/>
      <c r="CD42" s="47" t="s">
        <v>40</v>
      </c>
      <c r="CE42" s="48"/>
      <c r="CF42" s="47" t="s">
        <v>40</v>
      </c>
      <c r="CG42" s="48"/>
      <c r="CH42" s="47" t="s">
        <v>40</v>
      </c>
      <c r="CI42" s="48"/>
      <c r="CJ42" s="47" t="s">
        <v>40</v>
      </c>
      <c r="CK42" s="48"/>
      <c r="CL42" s="47" t="s">
        <v>40</v>
      </c>
      <c r="CM42" s="48"/>
      <c r="CN42" s="47" t="s">
        <v>40</v>
      </c>
      <c r="CO42" s="48"/>
      <c r="CP42" s="47" t="s">
        <v>40</v>
      </c>
      <c r="CQ42" s="48"/>
      <c r="CR42" s="47">
        <f>COUNTIFS(BL42:CQ42,"Ф") + BH42</f>
        <v>1</v>
      </c>
      <c r="CS42" s="49"/>
      <c r="CT42" s="49"/>
      <c r="CU42" s="50"/>
      <c r="DN42" s="20"/>
    </row>
    <row r="43" spans="1:118" ht="17.100000000000001" hidden="1" customHeight="1" thickBot="1" x14ac:dyDescent="0.25">
      <c r="A43" s="57" t="s">
        <v>90</v>
      </c>
      <c r="B43" s="57"/>
      <c r="C43" s="58" t="s">
        <v>115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9" t="s">
        <v>116</v>
      </c>
      <c r="P43" s="59"/>
      <c r="Q43" s="59"/>
      <c r="R43" s="59"/>
      <c r="S43" s="60"/>
      <c r="T43" s="60"/>
      <c r="U43" s="60"/>
      <c r="V43" s="60"/>
      <c r="W43" s="61" t="s">
        <v>75</v>
      </c>
      <c r="X43" s="61"/>
      <c r="Y43" s="61"/>
      <c r="Z43" s="61"/>
      <c r="AA43" s="61"/>
      <c r="AB43" s="61"/>
      <c r="AC43" s="61"/>
      <c r="AD43" s="64">
        <v>3.2</v>
      </c>
      <c r="AE43" s="64"/>
      <c r="AF43" s="64">
        <v>3.2</v>
      </c>
      <c r="AG43" s="64"/>
      <c r="AH43" s="64">
        <v>3.2</v>
      </c>
      <c r="AI43" s="64"/>
      <c r="AJ43" s="64"/>
      <c r="AK43" s="64"/>
      <c r="AL43" s="64"/>
      <c r="AM43" s="64"/>
      <c r="AN43" s="64">
        <v>3.2</v>
      </c>
      <c r="AO43" s="64"/>
      <c r="AP43" s="64">
        <v>3.2</v>
      </c>
      <c r="AQ43" s="64"/>
      <c r="AR43" s="64">
        <v>3.2</v>
      </c>
      <c r="AS43" s="64"/>
      <c r="AT43" s="64">
        <v>3.2</v>
      </c>
      <c r="AU43" s="64"/>
      <c r="AV43" s="64">
        <v>3.2</v>
      </c>
      <c r="AW43" s="64"/>
      <c r="AX43" s="64"/>
      <c r="AY43" s="64"/>
      <c r="AZ43" s="64"/>
      <c r="BA43" s="64"/>
      <c r="BB43" s="64">
        <v>3.2</v>
      </c>
      <c r="BC43" s="64"/>
      <c r="BD43" s="64">
        <v>3.2</v>
      </c>
      <c r="BE43" s="64"/>
      <c r="BF43" s="64">
        <v>3.2</v>
      </c>
      <c r="BG43" s="64"/>
      <c r="BH43" s="62">
        <f>SUM(AD43:BG43)</f>
        <v>35.199999999999996</v>
      </c>
      <c r="BI43" s="62"/>
      <c r="BJ43" s="62"/>
      <c r="BK43" s="62"/>
      <c r="BL43" s="64">
        <v>3.2</v>
      </c>
      <c r="BM43" s="64"/>
      <c r="BN43" s="64">
        <v>3.2</v>
      </c>
      <c r="BO43" s="64"/>
      <c r="BP43" s="64"/>
      <c r="BQ43" s="64"/>
      <c r="BR43" s="64"/>
      <c r="BS43" s="64"/>
      <c r="BT43" s="64">
        <v>3.2</v>
      </c>
      <c r="BU43" s="64"/>
      <c r="BV43" s="64">
        <v>3.2</v>
      </c>
      <c r="BW43" s="64"/>
      <c r="BX43" s="64">
        <v>3.2</v>
      </c>
      <c r="BY43" s="64"/>
      <c r="BZ43" s="64">
        <v>3.2</v>
      </c>
      <c r="CA43" s="64"/>
      <c r="CB43" s="64">
        <v>3.2</v>
      </c>
      <c r="CC43" s="64"/>
      <c r="CD43" s="64"/>
      <c r="CE43" s="64"/>
      <c r="CF43" s="64"/>
      <c r="CG43" s="64"/>
      <c r="CH43" s="64">
        <v>3.2</v>
      </c>
      <c r="CI43" s="64"/>
      <c r="CJ43" s="64">
        <v>3.2</v>
      </c>
      <c r="CK43" s="64"/>
      <c r="CL43" s="64">
        <v>3.2</v>
      </c>
      <c r="CM43" s="64"/>
      <c r="CN43" s="64">
        <v>3.2</v>
      </c>
      <c r="CO43" s="64"/>
      <c r="CP43" s="64">
        <v>3.2</v>
      </c>
      <c r="CQ43" s="64"/>
      <c r="CR43" s="53">
        <f>SUM(BL43:CQ43) +BH43</f>
        <v>73.599999999999994</v>
      </c>
      <c r="CS43" s="54"/>
      <c r="CT43" s="54"/>
      <c r="CU43" s="55"/>
      <c r="DN43" s="20"/>
    </row>
    <row r="44" spans="1:118" ht="17.100000000000001" hidden="1" customHeight="1" thickBot="1" x14ac:dyDescent="0.25">
      <c r="A44" s="57"/>
      <c r="B44" s="57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9"/>
      <c r="P44" s="59"/>
      <c r="Q44" s="59"/>
      <c r="R44" s="59"/>
      <c r="S44" s="60"/>
      <c r="T44" s="60"/>
      <c r="U44" s="60"/>
      <c r="V44" s="60"/>
      <c r="W44" s="63"/>
      <c r="X44" s="63"/>
      <c r="Y44" s="63"/>
      <c r="Z44" s="63"/>
      <c r="AA44" s="63"/>
      <c r="AB44" s="63"/>
      <c r="AC44" s="63"/>
      <c r="AD44" s="47" t="s">
        <v>39</v>
      </c>
      <c r="AE44" s="48"/>
      <c r="AF44" s="47" t="s">
        <v>39</v>
      </c>
      <c r="AG44" s="48"/>
      <c r="AH44" s="47" t="s">
        <v>39</v>
      </c>
      <c r="AI44" s="48"/>
      <c r="AJ44" s="47" t="s">
        <v>40</v>
      </c>
      <c r="AK44" s="48"/>
      <c r="AL44" s="47" t="s">
        <v>40</v>
      </c>
      <c r="AM44" s="48"/>
      <c r="AN44" s="47" t="s">
        <v>39</v>
      </c>
      <c r="AO44" s="48"/>
      <c r="AP44" s="47" t="s">
        <v>39</v>
      </c>
      <c r="AQ44" s="48"/>
      <c r="AR44" s="47" t="s">
        <v>39</v>
      </c>
      <c r="AS44" s="48"/>
      <c r="AT44" s="47" t="s">
        <v>39</v>
      </c>
      <c r="AU44" s="48"/>
      <c r="AV44" s="47" t="s">
        <v>39</v>
      </c>
      <c r="AW44" s="48"/>
      <c r="AX44" s="47" t="s">
        <v>40</v>
      </c>
      <c r="AY44" s="48"/>
      <c r="AZ44" s="47" t="s">
        <v>40</v>
      </c>
      <c r="BA44" s="48"/>
      <c r="BB44" s="47" t="s">
        <v>39</v>
      </c>
      <c r="BC44" s="48"/>
      <c r="BD44" s="47" t="s">
        <v>39</v>
      </c>
      <c r="BE44" s="48"/>
      <c r="BF44" s="47" t="s">
        <v>39</v>
      </c>
      <c r="BG44" s="48"/>
      <c r="BH44" s="56">
        <f>COUNTIFS(AB44:BG44,"Ф")</f>
        <v>11</v>
      </c>
      <c r="BI44" s="56"/>
      <c r="BJ44" s="56"/>
      <c r="BK44" s="56"/>
      <c r="BL44" s="47" t="s">
        <v>39</v>
      </c>
      <c r="BM44" s="48"/>
      <c r="BN44" s="47" t="s">
        <v>39</v>
      </c>
      <c r="BO44" s="48"/>
      <c r="BP44" s="47" t="s">
        <v>40</v>
      </c>
      <c r="BQ44" s="48"/>
      <c r="BR44" s="47" t="s">
        <v>40</v>
      </c>
      <c r="BS44" s="48"/>
      <c r="BT44" s="47" t="s">
        <v>39</v>
      </c>
      <c r="BU44" s="48"/>
      <c r="BV44" s="47" t="s">
        <v>39</v>
      </c>
      <c r="BW44" s="48"/>
      <c r="BX44" s="47" t="s">
        <v>39</v>
      </c>
      <c r="BY44" s="48"/>
      <c r="BZ44" s="47" t="s">
        <v>39</v>
      </c>
      <c r="CA44" s="48"/>
      <c r="CB44" s="47" t="s">
        <v>39</v>
      </c>
      <c r="CC44" s="48"/>
      <c r="CD44" s="47" t="s">
        <v>40</v>
      </c>
      <c r="CE44" s="48"/>
      <c r="CF44" s="47" t="s">
        <v>40</v>
      </c>
      <c r="CG44" s="48"/>
      <c r="CH44" s="47" t="s">
        <v>39</v>
      </c>
      <c r="CI44" s="48"/>
      <c r="CJ44" s="47" t="s">
        <v>39</v>
      </c>
      <c r="CK44" s="48"/>
      <c r="CL44" s="47" t="s">
        <v>39</v>
      </c>
      <c r="CM44" s="48"/>
      <c r="CN44" s="47" t="s">
        <v>39</v>
      </c>
      <c r="CO44" s="48"/>
      <c r="CP44" s="47" t="s">
        <v>39</v>
      </c>
      <c r="CQ44" s="48"/>
      <c r="CR44" s="47">
        <f>COUNTIFS(BL44:CQ44,"Ф") + BH44</f>
        <v>23</v>
      </c>
      <c r="CS44" s="49"/>
      <c r="CT44" s="49"/>
      <c r="CU44" s="50"/>
      <c r="DN44" s="20"/>
    </row>
    <row r="45" spans="1:118" ht="17.100000000000001" hidden="1" customHeight="1" thickBot="1" x14ac:dyDescent="0.25">
      <c r="A45" s="57" t="s">
        <v>91</v>
      </c>
      <c r="B45" s="57"/>
      <c r="C45" s="78" t="s">
        <v>95</v>
      </c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9" t="s">
        <v>96</v>
      </c>
      <c r="P45" s="79"/>
      <c r="Q45" s="79"/>
      <c r="R45" s="79"/>
      <c r="S45" s="80"/>
      <c r="T45" s="80"/>
      <c r="U45" s="80"/>
      <c r="V45" s="80"/>
      <c r="W45" s="81" t="s">
        <v>104</v>
      </c>
      <c r="X45" s="81"/>
      <c r="Y45" s="81"/>
      <c r="Z45" s="81"/>
      <c r="AA45" s="81"/>
      <c r="AB45" s="81"/>
      <c r="AC45" s="81"/>
      <c r="AD45" s="64">
        <v>6.4</v>
      </c>
      <c r="AE45" s="64"/>
      <c r="AF45" s="64">
        <v>6.4</v>
      </c>
      <c r="AG45" s="64"/>
      <c r="AH45" s="64">
        <v>6.4</v>
      </c>
      <c r="AI45" s="64"/>
      <c r="AJ45" s="64"/>
      <c r="AK45" s="64"/>
      <c r="AL45" s="64"/>
      <c r="AM45" s="64"/>
      <c r="AN45" s="64">
        <v>6.4</v>
      </c>
      <c r="AO45" s="64"/>
      <c r="AP45" s="64">
        <v>6.4</v>
      </c>
      <c r="AQ45" s="64"/>
      <c r="AR45" s="64">
        <v>6.4</v>
      </c>
      <c r="AS45" s="64"/>
      <c r="AT45" s="64">
        <v>6.4</v>
      </c>
      <c r="AU45" s="64"/>
      <c r="AV45" s="64">
        <v>6.4</v>
      </c>
      <c r="AW45" s="64"/>
      <c r="AX45" s="64"/>
      <c r="AY45" s="64"/>
      <c r="AZ45" s="64"/>
      <c r="BA45" s="64"/>
      <c r="BB45" s="64">
        <v>6.4</v>
      </c>
      <c r="BC45" s="64"/>
      <c r="BD45" s="64">
        <v>6.4</v>
      </c>
      <c r="BE45" s="64"/>
      <c r="BF45" s="64">
        <v>6.4</v>
      </c>
      <c r="BG45" s="64"/>
      <c r="BH45" s="62">
        <f>SUM(AD45:BG45)</f>
        <v>70.399999999999991</v>
      </c>
      <c r="BI45" s="62"/>
      <c r="BJ45" s="62"/>
      <c r="BK45" s="62"/>
      <c r="BL45" s="64">
        <v>6.4</v>
      </c>
      <c r="BM45" s="64"/>
      <c r="BN45" s="64">
        <v>6.4</v>
      </c>
      <c r="BO45" s="64"/>
      <c r="BP45" s="64"/>
      <c r="BQ45" s="64"/>
      <c r="BR45" s="64"/>
      <c r="BS45" s="64"/>
      <c r="BT45" s="64">
        <v>6.4</v>
      </c>
      <c r="BU45" s="64"/>
      <c r="BV45" s="64">
        <v>6.4</v>
      </c>
      <c r="BW45" s="64"/>
      <c r="BX45" s="64">
        <v>6.4</v>
      </c>
      <c r="BY45" s="64"/>
      <c r="BZ45" s="64">
        <v>6.4</v>
      </c>
      <c r="CA45" s="64"/>
      <c r="CB45" s="64">
        <v>6.4</v>
      </c>
      <c r="CC45" s="64"/>
      <c r="CD45" s="64"/>
      <c r="CE45" s="64"/>
      <c r="CF45" s="64"/>
      <c r="CG45" s="64"/>
      <c r="CH45" s="64">
        <v>6.4</v>
      </c>
      <c r="CI45" s="64"/>
      <c r="CJ45" s="64">
        <v>6.4</v>
      </c>
      <c r="CK45" s="64"/>
      <c r="CL45" s="64">
        <v>6.4</v>
      </c>
      <c r="CM45" s="64"/>
      <c r="CN45" s="64">
        <v>6.4</v>
      </c>
      <c r="CO45" s="64"/>
      <c r="CP45" s="64">
        <v>6.4</v>
      </c>
      <c r="CQ45" s="64"/>
      <c r="CR45" s="53">
        <f>SUM(BL45:CQ45) +BH45</f>
        <v>147.19999999999999</v>
      </c>
      <c r="CS45" s="54"/>
      <c r="CT45" s="54"/>
      <c r="CU45" s="55"/>
      <c r="DN45" s="20"/>
    </row>
    <row r="46" spans="1:118" ht="17.100000000000001" hidden="1" customHeight="1" thickBot="1" x14ac:dyDescent="0.25">
      <c r="A46" s="57"/>
      <c r="B46" s="57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9"/>
      <c r="P46" s="79"/>
      <c r="Q46" s="79"/>
      <c r="R46" s="79"/>
      <c r="S46" s="80"/>
      <c r="T46" s="80"/>
      <c r="U46" s="80"/>
      <c r="V46" s="80"/>
      <c r="W46" s="77" t="s">
        <v>78</v>
      </c>
      <c r="X46" s="77"/>
      <c r="Y46" s="77"/>
      <c r="Z46" s="77"/>
      <c r="AA46" s="77"/>
      <c r="AB46" s="77"/>
      <c r="AC46" s="77"/>
      <c r="AD46" s="47" t="s">
        <v>39</v>
      </c>
      <c r="AE46" s="48"/>
      <c r="AF46" s="47" t="s">
        <v>39</v>
      </c>
      <c r="AG46" s="48"/>
      <c r="AH46" s="47" t="s">
        <v>39</v>
      </c>
      <c r="AI46" s="48"/>
      <c r="AJ46" s="47" t="s">
        <v>40</v>
      </c>
      <c r="AK46" s="48"/>
      <c r="AL46" s="47" t="s">
        <v>40</v>
      </c>
      <c r="AM46" s="48"/>
      <c r="AN46" s="47" t="s">
        <v>39</v>
      </c>
      <c r="AO46" s="48"/>
      <c r="AP46" s="47" t="s">
        <v>39</v>
      </c>
      <c r="AQ46" s="48"/>
      <c r="AR46" s="47" t="s">
        <v>39</v>
      </c>
      <c r="AS46" s="48"/>
      <c r="AT46" s="47" t="s">
        <v>39</v>
      </c>
      <c r="AU46" s="48"/>
      <c r="AV46" s="47" t="s">
        <v>39</v>
      </c>
      <c r="AW46" s="48"/>
      <c r="AX46" s="47" t="s">
        <v>40</v>
      </c>
      <c r="AY46" s="48"/>
      <c r="AZ46" s="47" t="s">
        <v>40</v>
      </c>
      <c r="BA46" s="48"/>
      <c r="BB46" s="47" t="s">
        <v>39</v>
      </c>
      <c r="BC46" s="48"/>
      <c r="BD46" s="47" t="s">
        <v>39</v>
      </c>
      <c r="BE46" s="48"/>
      <c r="BF46" s="47" t="s">
        <v>39</v>
      </c>
      <c r="BG46" s="48"/>
      <c r="BH46" s="56">
        <f>COUNTIFS(AB46:BG46,"Ф")</f>
        <v>11</v>
      </c>
      <c r="BI46" s="56"/>
      <c r="BJ46" s="56"/>
      <c r="BK46" s="56"/>
      <c r="BL46" s="47" t="s">
        <v>39</v>
      </c>
      <c r="BM46" s="48"/>
      <c r="BN46" s="47" t="s">
        <v>39</v>
      </c>
      <c r="BO46" s="48"/>
      <c r="BP46" s="47" t="s">
        <v>40</v>
      </c>
      <c r="BQ46" s="48"/>
      <c r="BR46" s="47" t="s">
        <v>40</v>
      </c>
      <c r="BS46" s="48"/>
      <c r="BT46" s="47" t="s">
        <v>39</v>
      </c>
      <c r="BU46" s="48"/>
      <c r="BV46" s="47" t="s">
        <v>39</v>
      </c>
      <c r="BW46" s="48"/>
      <c r="BX46" s="47" t="s">
        <v>39</v>
      </c>
      <c r="BY46" s="48"/>
      <c r="BZ46" s="47" t="s">
        <v>39</v>
      </c>
      <c r="CA46" s="48"/>
      <c r="CB46" s="47" t="s">
        <v>39</v>
      </c>
      <c r="CC46" s="48"/>
      <c r="CD46" s="47" t="s">
        <v>40</v>
      </c>
      <c r="CE46" s="48"/>
      <c r="CF46" s="47" t="s">
        <v>40</v>
      </c>
      <c r="CG46" s="48"/>
      <c r="CH46" s="47" t="s">
        <v>39</v>
      </c>
      <c r="CI46" s="48"/>
      <c r="CJ46" s="47" t="s">
        <v>39</v>
      </c>
      <c r="CK46" s="48"/>
      <c r="CL46" s="47" t="s">
        <v>39</v>
      </c>
      <c r="CM46" s="48"/>
      <c r="CN46" s="47" t="s">
        <v>39</v>
      </c>
      <c r="CO46" s="48"/>
      <c r="CP46" s="47" t="s">
        <v>39</v>
      </c>
      <c r="CQ46" s="48"/>
      <c r="CR46" s="47">
        <f>COUNTIFS(BL46:CQ46,"Ф") + BH46</f>
        <v>23</v>
      </c>
      <c r="CS46" s="49"/>
      <c r="CT46" s="49"/>
      <c r="CU46" s="50"/>
      <c r="DN46" s="20"/>
    </row>
    <row r="47" spans="1:118" ht="17.100000000000001" customHeight="1" thickBot="1" x14ac:dyDescent="0.25">
      <c r="A47" s="57" t="s">
        <v>94</v>
      </c>
      <c r="B47" s="57"/>
      <c r="C47" s="58" t="s">
        <v>130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9" t="s">
        <v>131</v>
      </c>
      <c r="P47" s="59"/>
      <c r="Q47" s="59"/>
      <c r="R47" s="59"/>
      <c r="S47" s="60"/>
      <c r="T47" s="60"/>
      <c r="U47" s="60"/>
      <c r="V47" s="60"/>
      <c r="W47" s="61" t="s">
        <v>126</v>
      </c>
      <c r="X47" s="61"/>
      <c r="Y47" s="61"/>
      <c r="Z47" s="61"/>
      <c r="AA47" s="61"/>
      <c r="AB47" s="61"/>
      <c r="AC47" s="61"/>
      <c r="AD47" s="51"/>
      <c r="AE47" s="52"/>
      <c r="AF47" s="51"/>
      <c r="AG47" s="52"/>
      <c r="AH47" s="51"/>
      <c r="AI47" s="52"/>
      <c r="AJ47" s="51"/>
      <c r="AK47" s="52"/>
      <c r="AL47" s="51"/>
      <c r="AM47" s="52"/>
      <c r="AN47" s="51"/>
      <c r="AO47" s="52"/>
      <c r="AP47" s="51"/>
      <c r="AQ47" s="52"/>
      <c r="AR47" s="51"/>
      <c r="AS47" s="52"/>
      <c r="AT47" s="51"/>
      <c r="AU47" s="52"/>
      <c r="AV47" s="51"/>
      <c r="AW47" s="52"/>
      <c r="AX47" s="51"/>
      <c r="AY47" s="52"/>
      <c r="AZ47" s="51"/>
      <c r="BA47" s="52"/>
      <c r="BB47" s="51"/>
      <c r="BC47" s="52"/>
      <c r="BD47" s="51"/>
      <c r="BE47" s="52"/>
      <c r="BF47" s="51"/>
      <c r="BG47" s="52"/>
      <c r="BH47" s="62">
        <f>SUM(AD47:BG47)</f>
        <v>0</v>
      </c>
      <c r="BI47" s="62"/>
      <c r="BJ47" s="62"/>
      <c r="BK47" s="62"/>
      <c r="BL47" s="51"/>
      <c r="BM47" s="52"/>
      <c r="BN47" s="51"/>
      <c r="BO47" s="52"/>
      <c r="BP47" s="51"/>
      <c r="BQ47" s="52"/>
      <c r="BR47" s="51"/>
      <c r="BS47" s="52"/>
      <c r="BT47" s="51">
        <v>2</v>
      </c>
      <c r="BU47" s="52"/>
      <c r="BV47" s="51"/>
      <c r="BW47" s="52"/>
      <c r="BX47" s="51"/>
      <c r="BY47" s="52"/>
      <c r="BZ47" s="51"/>
      <c r="CA47" s="52"/>
      <c r="CB47" s="51">
        <v>2</v>
      </c>
      <c r="CC47" s="52"/>
      <c r="CD47" s="51"/>
      <c r="CE47" s="52"/>
      <c r="CF47" s="51"/>
      <c r="CG47" s="52"/>
      <c r="CH47" s="51">
        <v>2</v>
      </c>
      <c r="CI47" s="52"/>
      <c r="CJ47" s="51"/>
      <c r="CK47" s="52"/>
      <c r="CL47" s="51"/>
      <c r="CM47" s="52"/>
      <c r="CN47" s="51">
        <v>2</v>
      </c>
      <c r="CO47" s="52"/>
      <c r="CP47" s="51"/>
      <c r="CQ47" s="52"/>
      <c r="CR47" s="53">
        <f>SUM(BL47:CQ47) +BH47</f>
        <v>8</v>
      </c>
      <c r="CS47" s="54"/>
      <c r="CT47" s="54"/>
      <c r="CU47" s="55"/>
      <c r="DN47" s="20"/>
    </row>
    <row r="48" spans="1:118" ht="17.100000000000001" customHeight="1" thickBot="1" x14ac:dyDescent="0.25">
      <c r="A48" s="57"/>
      <c r="B48" s="57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/>
      <c r="P48" s="59"/>
      <c r="Q48" s="59"/>
      <c r="R48" s="59"/>
      <c r="S48" s="60"/>
      <c r="T48" s="60"/>
      <c r="U48" s="60"/>
      <c r="V48" s="60"/>
      <c r="W48" s="63"/>
      <c r="X48" s="63"/>
      <c r="Y48" s="63"/>
      <c r="Z48" s="63"/>
      <c r="AA48" s="63"/>
      <c r="AB48" s="63"/>
      <c r="AC48" s="63"/>
      <c r="AD48" s="47"/>
      <c r="AE48" s="48"/>
      <c r="AF48" s="47"/>
      <c r="AG48" s="48"/>
      <c r="AH48" s="47"/>
      <c r="AI48" s="48"/>
      <c r="AJ48" s="47"/>
      <c r="AK48" s="48"/>
      <c r="AL48" s="47"/>
      <c r="AM48" s="48"/>
      <c r="AN48" s="47"/>
      <c r="AO48" s="48"/>
      <c r="AP48" s="47"/>
      <c r="AQ48" s="48"/>
      <c r="AR48" s="47"/>
      <c r="AS48" s="48"/>
      <c r="AT48" s="47"/>
      <c r="AU48" s="48"/>
      <c r="AV48" s="47"/>
      <c r="AW48" s="48"/>
      <c r="AX48" s="47"/>
      <c r="AY48" s="48"/>
      <c r="AZ48" s="47"/>
      <c r="BA48" s="48"/>
      <c r="BB48" s="47"/>
      <c r="BC48" s="48"/>
      <c r="BD48" s="47"/>
      <c r="BE48" s="48"/>
      <c r="BF48" s="47" t="s">
        <v>40</v>
      </c>
      <c r="BG48" s="48"/>
      <c r="BH48" s="56">
        <f>COUNTIFS(AB48:BG48,"Ф")</f>
        <v>0</v>
      </c>
      <c r="BI48" s="56"/>
      <c r="BJ48" s="56"/>
      <c r="BK48" s="56"/>
      <c r="BL48" s="47" t="s">
        <v>40</v>
      </c>
      <c r="BM48" s="48"/>
      <c r="BN48" s="47" t="s">
        <v>40</v>
      </c>
      <c r="BO48" s="48"/>
      <c r="BP48" s="47" t="s">
        <v>40</v>
      </c>
      <c r="BQ48" s="48"/>
      <c r="BR48" s="47" t="s">
        <v>40</v>
      </c>
      <c r="BS48" s="48"/>
      <c r="BT48" s="47" t="s">
        <v>39</v>
      </c>
      <c r="BU48" s="48"/>
      <c r="BV48" s="47" t="s">
        <v>40</v>
      </c>
      <c r="BW48" s="48"/>
      <c r="BX48" s="47" t="s">
        <v>40</v>
      </c>
      <c r="BY48" s="48"/>
      <c r="BZ48" s="47" t="s">
        <v>40</v>
      </c>
      <c r="CA48" s="48"/>
      <c r="CB48" s="47" t="s">
        <v>39</v>
      </c>
      <c r="CC48" s="48"/>
      <c r="CD48" s="47" t="s">
        <v>40</v>
      </c>
      <c r="CE48" s="48"/>
      <c r="CF48" s="47" t="s">
        <v>40</v>
      </c>
      <c r="CG48" s="48"/>
      <c r="CH48" s="47" t="s">
        <v>39</v>
      </c>
      <c r="CI48" s="48"/>
      <c r="CJ48" s="47" t="s">
        <v>40</v>
      </c>
      <c r="CK48" s="48"/>
      <c r="CL48" s="47" t="s">
        <v>40</v>
      </c>
      <c r="CM48" s="48"/>
      <c r="CN48" s="47" t="s">
        <v>39</v>
      </c>
      <c r="CO48" s="48"/>
      <c r="CP48" s="47" t="s">
        <v>40</v>
      </c>
      <c r="CQ48" s="48"/>
      <c r="CR48" s="47">
        <f>COUNTIFS(BL48:CQ48,"Ф") + BH48</f>
        <v>4</v>
      </c>
      <c r="CS48" s="49"/>
      <c r="CT48" s="49"/>
      <c r="CU48" s="50"/>
      <c r="DN48" s="20"/>
    </row>
    <row r="49" spans="1:118" ht="17.100000000000001" customHeight="1" thickBot="1" x14ac:dyDescent="0.25">
      <c r="A49" s="57" t="s">
        <v>97</v>
      </c>
      <c r="B49" s="57"/>
      <c r="C49" s="58" t="s">
        <v>132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9" t="s">
        <v>133</v>
      </c>
      <c r="P49" s="59"/>
      <c r="Q49" s="59"/>
      <c r="R49" s="59"/>
      <c r="S49" s="60"/>
      <c r="T49" s="60"/>
      <c r="U49" s="60"/>
      <c r="V49" s="60"/>
      <c r="W49" s="61" t="s">
        <v>126</v>
      </c>
      <c r="X49" s="61"/>
      <c r="Y49" s="61"/>
      <c r="Z49" s="61"/>
      <c r="AA49" s="61"/>
      <c r="AB49" s="61"/>
      <c r="AC49" s="61"/>
      <c r="AD49" s="51"/>
      <c r="AE49" s="52"/>
      <c r="AF49" s="51"/>
      <c r="AG49" s="52"/>
      <c r="AH49" s="51"/>
      <c r="AI49" s="52"/>
      <c r="AJ49" s="51"/>
      <c r="AK49" s="52"/>
      <c r="AL49" s="51"/>
      <c r="AM49" s="52"/>
      <c r="AN49" s="51"/>
      <c r="AO49" s="52"/>
      <c r="AP49" s="51"/>
      <c r="AQ49" s="52"/>
      <c r="AR49" s="51"/>
      <c r="AS49" s="52"/>
      <c r="AT49" s="51"/>
      <c r="AU49" s="52"/>
      <c r="AV49" s="51"/>
      <c r="AW49" s="52"/>
      <c r="AX49" s="51"/>
      <c r="AY49" s="52"/>
      <c r="AZ49" s="51"/>
      <c r="BA49" s="52"/>
      <c r="BB49" s="51"/>
      <c r="BC49" s="52"/>
      <c r="BD49" s="51"/>
      <c r="BE49" s="52"/>
      <c r="BF49" s="51"/>
      <c r="BG49" s="52"/>
      <c r="BH49" s="62">
        <f>SUM(AD49:BG49)</f>
        <v>0</v>
      </c>
      <c r="BI49" s="62"/>
      <c r="BJ49" s="62"/>
      <c r="BK49" s="62"/>
      <c r="BL49" s="51"/>
      <c r="BM49" s="52"/>
      <c r="BN49" s="51"/>
      <c r="BO49" s="52"/>
      <c r="BP49" s="51"/>
      <c r="BQ49" s="52"/>
      <c r="BR49" s="51"/>
      <c r="BS49" s="52"/>
      <c r="BT49" s="51"/>
      <c r="BU49" s="52"/>
      <c r="BV49" s="51"/>
      <c r="BW49" s="52"/>
      <c r="BX49" s="51"/>
      <c r="BY49" s="52"/>
      <c r="BZ49" s="51"/>
      <c r="CA49" s="52"/>
      <c r="CB49" s="51">
        <v>2</v>
      </c>
      <c r="CC49" s="52"/>
      <c r="CD49" s="51"/>
      <c r="CE49" s="52"/>
      <c r="CF49" s="51"/>
      <c r="CG49" s="52"/>
      <c r="CH49" s="51"/>
      <c r="CI49" s="52"/>
      <c r="CJ49" s="51"/>
      <c r="CK49" s="52"/>
      <c r="CL49" s="51"/>
      <c r="CM49" s="52"/>
      <c r="CN49" s="51"/>
      <c r="CO49" s="52"/>
      <c r="CP49" s="51"/>
      <c r="CQ49" s="52"/>
      <c r="CR49" s="53">
        <f>SUM(BL49:CQ49) +BH49</f>
        <v>2</v>
      </c>
      <c r="CS49" s="54"/>
      <c r="CT49" s="54"/>
      <c r="CU49" s="55"/>
      <c r="DN49" s="20"/>
    </row>
    <row r="50" spans="1:118" ht="17.100000000000001" customHeight="1" thickBot="1" x14ac:dyDescent="0.25">
      <c r="A50" s="57"/>
      <c r="B50" s="57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9"/>
      <c r="P50" s="59"/>
      <c r="Q50" s="59"/>
      <c r="R50" s="59"/>
      <c r="S50" s="60"/>
      <c r="T50" s="60"/>
      <c r="U50" s="60"/>
      <c r="V50" s="60"/>
      <c r="W50" s="63"/>
      <c r="X50" s="63"/>
      <c r="Y50" s="63"/>
      <c r="Z50" s="63"/>
      <c r="AA50" s="63"/>
      <c r="AB50" s="63"/>
      <c r="AC50" s="63"/>
      <c r="AD50" s="47"/>
      <c r="AE50" s="48"/>
      <c r="AF50" s="47"/>
      <c r="AG50" s="48"/>
      <c r="AH50" s="47"/>
      <c r="AI50" s="48"/>
      <c r="AJ50" s="47"/>
      <c r="AK50" s="48"/>
      <c r="AL50" s="47"/>
      <c r="AM50" s="48"/>
      <c r="AN50" s="47"/>
      <c r="AO50" s="48"/>
      <c r="AP50" s="47"/>
      <c r="AQ50" s="48"/>
      <c r="AR50" s="47"/>
      <c r="AS50" s="48"/>
      <c r="AT50" s="47"/>
      <c r="AU50" s="48"/>
      <c r="AV50" s="47"/>
      <c r="AW50" s="48"/>
      <c r="AX50" s="47"/>
      <c r="AY50" s="48"/>
      <c r="AZ50" s="47"/>
      <c r="BA50" s="48"/>
      <c r="BB50" s="47"/>
      <c r="BC50" s="48"/>
      <c r="BD50" s="47"/>
      <c r="BE50" s="48"/>
      <c r="BF50" s="47" t="s">
        <v>40</v>
      </c>
      <c r="BG50" s="48"/>
      <c r="BH50" s="56">
        <f>COUNTIFS(AB50:BG50,"Ф")</f>
        <v>0</v>
      </c>
      <c r="BI50" s="56"/>
      <c r="BJ50" s="56"/>
      <c r="BK50" s="56"/>
      <c r="BL50" s="47" t="s">
        <v>40</v>
      </c>
      <c r="BM50" s="48"/>
      <c r="BN50" s="47" t="s">
        <v>40</v>
      </c>
      <c r="BO50" s="48"/>
      <c r="BP50" s="47" t="s">
        <v>40</v>
      </c>
      <c r="BQ50" s="48"/>
      <c r="BR50" s="47" t="s">
        <v>40</v>
      </c>
      <c r="BS50" s="48"/>
      <c r="BT50" s="47" t="s">
        <v>40</v>
      </c>
      <c r="BU50" s="48"/>
      <c r="BV50" s="47" t="s">
        <v>40</v>
      </c>
      <c r="BW50" s="48"/>
      <c r="BX50" s="47" t="s">
        <v>40</v>
      </c>
      <c r="BY50" s="48"/>
      <c r="BZ50" s="47" t="s">
        <v>40</v>
      </c>
      <c r="CA50" s="48"/>
      <c r="CB50" s="47" t="s">
        <v>39</v>
      </c>
      <c r="CC50" s="48"/>
      <c r="CD50" s="47" t="s">
        <v>40</v>
      </c>
      <c r="CE50" s="48"/>
      <c r="CF50" s="47" t="s">
        <v>40</v>
      </c>
      <c r="CG50" s="48"/>
      <c r="CH50" s="47" t="s">
        <v>40</v>
      </c>
      <c r="CI50" s="48"/>
      <c r="CJ50" s="47" t="s">
        <v>40</v>
      </c>
      <c r="CK50" s="48"/>
      <c r="CL50" s="47" t="s">
        <v>40</v>
      </c>
      <c r="CM50" s="48"/>
      <c r="CN50" s="47" t="s">
        <v>40</v>
      </c>
      <c r="CO50" s="48"/>
      <c r="CP50" s="47" t="s">
        <v>40</v>
      </c>
      <c r="CQ50" s="48"/>
      <c r="CR50" s="47">
        <f>COUNTIFS(BL50:CQ50,"Ф") + BH50</f>
        <v>1</v>
      </c>
      <c r="CS50" s="49"/>
      <c r="CT50" s="49"/>
      <c r="CU50" s="50"/>
      <c r="DN50" s="20"/>
    </row>
    <row r="51" spans="1:118" ht="17.100000000000001" customHeight="1" thickBot="1" x14ac:dyDescent="0.25">
      <c r="A51" s="57" t="s">
        <v>98</v>
      </c>
      <c r="B51" s="57"/>
      <c r="C51" s="58" t="s">
        <v>134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9" t="s">
        <v>135</v>
      </c>
      <c r="P51" s="59"/>
      <c r="Q51" s="59"/>
      <c r="R51" s="59"/>
      <c r="S51" s="60"/>
      <c r="T51" s="60"/>
      <c r="U51" s="60"/>
      <c r="V51" s="60"/>
      <c r="W51" s="61" t="s">
        <v>136</v>
      </c>
      <c r="X51" s="61"/>
      <c r="Y51" s="61"/>
      <c r="Z51" s="61"/>
      <c r="AA51" s="61"/>
      <c r="AB51" s="61"/>
      <c r="AC51" s="61"/>
      <c r="AD51" s="51"/>
      <c r="AE51" s="52"/>
      <c r="AF51" s="51"/>
      <c r="AG51" s="52"/>
      <c r="AH51" s="51"/>
      <c r="AI51" s="52"/>
      <c r="AJ51" s="51"/>
      <c r="AK51" s="52"/>
      <c r="AL51" s="51"/>
      <c r="AM51" s="52"/>
      <c r="AN51" s="51"/>
      <c r="AO51" s="52"/>
      <c r="AP51" s="51"/>
      <c r="AQ51" s="52"/>
      <c r="AR51" s="51"/>
      <c r="AS51" s="52"/>
      <c r="AT51" s="51"/>
      <c r="AU51" s="52"/>
      <c r="AV51" s="51"/>
      <c r="AW51" s="52"/>
      <c r="AX51" s="51"/>
      <c r="AY51" s="52"/>
      <c r="AZ51" s="51"/>
      <c r="BA51" s="52"/>
      <c r="BB51" s="51"/>
      <c r="BC51" s="52"/>
      <c r="BD51" s="51"/>
      <c r="BE51" s="52"/>
      <c r="BF51" s="51"/>
      <c r="BG51" s="52"/>
      <c r="BH51" s="62">
        <f>SUM(AD51:BG51)</f>
        <v>0</v>
      </c>
      <c r="BI51" s="62"/>
      <c r="BJ51" s="62"/>
      <c r="BK51" s="62"/>
      <c r="BL51" s="51"/>
      <c r="BM51" s="52"/>
      <c r="BN51" s="51"/>
      <c r="BO51" s="52"/>
      <c r="BP51" s="51"/>
      <c r="BQ51" s="52"/>
      <c r="BR51" s="51"/>
      <c r="BS51" s="52"/>
      <c r="BT51" s="51"/>
      <c r="BU51" s="52"/>
      <c r="BV51" s="51"/>
      <c r="BW51" s="52"/>
      <c r="BX51" s="51"/>
      <c r="BY51" s="52"/>
      <c r="BZ51" s="51"/>
      <c r="CA51" s="52"/>
      <c r="CB51" s="51"/>
      <c r="CC51" s="52"/>
      <c r="CD51" s="51"/>
      <c r="CE51" s="52"/>
      <c r="CF51" s="51"/>
      <c r="CG51" s="52"/>
      <c r="CH51" s="51"/>
      <c r="CI51" s="52"/>
      <c r="CJ51" s="51"/>
      <c r="CK51" s="52"/>
      <c r="CL51" s="51"/>
      <c r="CM51" s="52"/>
      <c r="CN51" s="51"/>
      <c r="CO51" s="52"/>
      <c r="CP51" s="51"/>
      <c r="CQ51" s="52"/>
      <c r="CR51" s="53">
        <f>SUM(BL51:CQ51) +BH51</f>
        <v>0</v>
      </c>
      <c r="CS51" s="54"/>
      <c r="CT51" s="54"/>
      <c r="CU51" s="55"/>
      <c r="DN51" s="20"/>
    </row>
    <row r="52" spans="1:118" ht="17.100000000000001" customHeight="1" thickBot="1" x14ac:dyDescent="0.25">
      <c r="A52" s="57"/>
      <c r="B52" s="57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9"/>
      <c r="P52" s="59"/>
      <c r="Q52" s="59"/>
      <c r="R52" s="59"/>
      <c r="S52" s="60"/>
      <c r="T52" s="60"/>
      <c r="U52" s="60"/>
      <c r="V52" s="60"/>
      <c r="W52" s="63"/>
      <c r="X52" s="63"/>
      <c r="Y52" s="63"/>
      <c r="Z52" s="63"/>
      <c r="AA52" s="63"/>
      <c r="AB52" s="63"/>
      <c r="AC52" s="63"/>
      <c r="AD52" s="47"/>
      <c r="AE52" s="48"/>
      <c r="AF52" s="47"/>
      <c r="AG52" s="48"/>
      <c r="AH52" s="47"/>
      <c r="AI52" s="48"/>
      <c r="AJ52" s="47"/>
      <c r="AK52" s="48"/>
      <c r="AL52" s="47"/>
      <c r="AM52" s="48"/>
      <c r="AN52" s="47"/>
      <c r="AO52" s="48"/>
      <c r="AP52" s="47"/>
      <c r="AQ52" s="48"/>
      <c r="AR52" s="47"/>
      <c r="AS52" s="48"/>
      <c r="AT52" s="47"/>
      <c r="AU52" s="48"/>
      <c r="AV52" s="47"/>
      <c r="AW52" s="48"/>
      <c r="AX52" s="47"/>
      <c r="AY52" s="48"/>
      <c r="AZ52" s="47"/>
      <c r="BA52" s="48"/>
      <c r="BB52" s="47"/>
      <c r="BC52" s="48"/>
      <c r="BD52" s="47"/>
      <c r="BE52" s="48"/>
      <c r="BF52" s="47" t="s">
        <v>40</v>
      </c>
      <c r="BG52" s="48"/>
      <c r="BH52" s="56">
        <f>COUNTIFS(AB52:BG52,"Ф")</f>
        <v>0</v>
      </c>
      <c r="BI52" s="56"/>
      <c r="BJ52" s="56"/>
      <c r="BK52" s="56"/>
      <c r="BL52" s="47" t="s">
        <v>40</v>
      </c>
      <c r="BM52" s="48"/>
      <c r="BN52" s="47" t="s">
        <v>40</v>
      </c>
      <c r="BO52" s="48"/>
      <c r="BP52" s="47" t="s">
        <v>40</v>
      </c>
      <c r="BQ52" s="48"/>
      <c r="BR52" s="47" t="s">
        <v>40</v>
      </c>
      <c r="BS52" s="48"/>
      <c r="BT52" s="47" t="s">
        <v>108</v>
      </c>
      <c r="BU52" s="48"/>
      <c r="BV52" s="47" t="s">
        <v>108</v>
      </c>
      <c r="BW52" s="48"/>
      <c r="BX52" s="47" t="s">
        <v>108</v>
      </c>
      <c r="BY52" s="48"/>
      <c r="BZ52" s="47" t="s">
        <v>108</v>
      </c>
      <c r="CA52" s="48"/>
      <c r="CB52" s="47" t="s">
        <v>108</v>
      </c>
      <c r="CC52" s="48"/>
      <c r="CD52" s="47" t="s">
        <v>108</v>
      </c>
      <c r="CE52" s="48"/>
      <c r="CF52" s="47" t="s">
        <v>108</v>
      </c>
      <c r="CG52" s="48"/>
      <c r="CH52" s="47" t="s">
        <v>108</v>
      </c>
      <c r="CI52" s="48"/>
      <c r="CJ52" s="47" t="s">
        <v>108</v>
      </c>
      <c r="CK52" s="48"/>
      <c r="CL52" s="47" t="s">
        <v>108</v>
      </c>
      <c r="CM52" s="48"/>
      <c r="CN52" s="47" t="s">
        <v>108</v>
      </c>
      <c r="CO52" s="48"/>
      <c r="CP52" s="47" t="s">
        <v>108</v>
      </c>
      <c r="CQ52" s="48"/>
      <c r="CR52" s="47">
        <f>COUNTIFS(BL52:CQ52,"Ф") + BH52</f>
        <v>0</v>
      </c>
      <c r="CS52" s="49"/>
      <c r="CT52" s="49"/>
      <c r="CU52" s="50"/>
      <c r="DN52" s="20"/>
    </row>
    <row r="53" spans="1:118" ht="17.100000000000001" hidden="1" customHeight="1" thickBot="1" x14ac:dyDescent="0.25">
      <c r="A53" s="57" t="s">
        <v>105</v>
      </c>
      <c r="B53" s="57"/>
      <c r="C53" s="58" t="s">
        <v>73</v>
      </c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60" t="s">
        <v>100</v>
      </c>
      <c r="P53" s="60"/>
      <c r="Q53" s="60"/>
      <c r="R53" s="60"/>
      <c r="S53" s="60"/>
      <c r="T53" s="60"/>
      <c r="U53" s="60"/>
      <c r="V53" s="60"/>
      <c r="W53" s="61" t="s">
        <v>85</v>
      </c>
      <c r="X53" s="61"/>
      <c r="Y53" s="61"/>
      <c r="Z53" s="61"/>
      <c r="AA53" s="61"/>
      <c r="AB53" s="61"/>
      <c r="AC53" s="61"/>
      <c r="AD53" s="51">
        <v>8</v>
      </c>
      <c r="AE53" s="52"/>
      <c r="AF53" s="51">
        <v>8</v>
      </c>
      <c r="AG53" s="52"/>
      <c r="AH53" s="51">
        <v>8</v>
      </c>
      <c r="AI53" s="52"/>
      <c r="AJ53" s="51"/>
      <c r="AK53" s="52"/>
      <c r="AL53" s="51"/>
      <c r="AM53" s="52"/>
      <c r="AN53" s="51">
        <v>8</v>
      </c>
      <c r="AO53" s="52"/>
      <c r="AP53" s="51">
        <v>8</v>
      </c>
      <c r="AQ53" s="52"/>
      <c r="AR53" s="51"/>
      <c r="AS53" s="52"/>
      <c r="AT53" s="51"/>
      <c r="AU53" s="52"/>
      <c r="AV53" s="51"/>
      <c r="AW53" s="52"/>
      <c r="AX53" s="51"/>
      <c r="AY53" s="52"/>
      <c r="AZ53" s="51"/>
      <c r="BA53" s="52"/>
      <c r="BB53" s="51"/>
      <c r="BC53" s="52"/>
      <c r="BD53" s="51"/>
      <c r="BE53" s="52"/>
      <c r="BF53" s="51"/>
      <c r="BG53" s="52"/>
      <c r="BH53" s="62">
        <f>SUM(AD53:BG53)</f>
        <v>40</v>
      </c>
      <c r="BI53" s="62"/>
      <c r="BJ53" s="62"/>
      <c r="BK53" s="62"/>
      <c r="BL53" s="51"/>
      <c r="BM53" s="52"/>
      <c r="BN53" s="51"/>
      <c r="BO53" s="52"/>
      <c r="BP53" s="51"/>
      <c r="BQ53" s="52"/>
      <c r="BR53" s="51"/>
      <c r="BS53" s="52"/>
      <c r="BT53" s="51"/>
      <c r="BU53" s="52"/>
      <c r="BV53" s="51"/>
      <c r="BW53" s="52"/>
      <c r="BX53" s="51"/>
      <c r="BY53" s="52"/>
      <c r="BZ53" s="51"/>
      <c r="CA53" s="52"/>
      <c r="CB53" s="51"/>
      <c r="CC53" s="52"/>
      <c r="CD53" s="51"/>
      <c r="CE53" s="52"/>
      <c r="CF53" s="51"/>
      <c r="CG53" s="52"/>
      <c r="CH53" s="51"/>
      <c r="CI53" s="52"/>
      <c r="CJ53" s="51"/>
      <c r="CK53" s="52"/>
      <c r="CL53" s="51"/>
      <c r="CM53" s="52"/>
      <c r="CN53" s="51"/>
      <c r="CO53" s="52"/>
      <c r="CP53" s="51"/>
      <c r="CQ53" s="52"/>
      <c r="CR53" s="53">
        <f>SUM(BL53:CQ53) +BH53</f>
        <v>40</v>
      </c>
      <c r="CS53" s="54"/>
      <c r="CT53" s="54"/>
      <c r="CU53" s="55"/>
    </row>
    <row r="54" spans="1:118" ht="17.100000000000001" hidden="1" customHeight="1" thickBot="1" x14ac:dyDescent="0.25">
      <c r="A54" s="57"/>
      <c r="B54" s="57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60"/>
      <c r="P54" s="60"/>
      <c r="Q54" s="60"/>
      <c r="R54" s="60"/>
      <c r="S54" s="60"/>
      <c r="T54" s="60"/>
      <c r="U54" s="60"/>
      <c r="V54" s="60"/>
      <c r="W54" s="63" t="s">
        <v>86</v>
      </c>
      <c r="X54" s="63"/>
      <c r="Y54" s="63"/>
      <c r="Z54" s="63"/>
      <c r="AA54" s="63"/>
      <c r="AB54" s="63"/>
      <c r="AC54" s="63"/>
      <c r="AD54" s="47" t="s">
        <v>39</v>
      </c>
      <c r="AE54" s="48"/>
      <c r="AF54" s="47" t="s">
        <v>39</v>
      </c>
      <c r="AG54" s="48"/>
      <c r="AH54" s="47" t="s">
        <v>39</v>
      </c>
      <c r="AI54" s="48"/>
      <c r="AJ54" s="47" t="s">
        <v>40</v>
      </c>
      <c r="AK54" s="48"/>
      <c r="AL54" s="47" t="s">
        <v>40</v>
      </c>
      <c r="AM54" s="48"/>
      <c r="AN54" s="47" t="s">
        <v>39</v>
      </c>
      <c r="AO54" s="48"/>
      <c r="AP54" s="47" t="s">
        <v>39</v>
      </c>
      <c r="AQ54" s="48"/>
      <c r="AR54" s="47" t="s">
        <v>123</v>
      </c>
      <c r="AS54" s="48"/>
      <c r="AT54" s="47" t="s">
        <v>123</v>
      </c>
      <c r="AU54" s="48"/>
      <c r="AV54" s="47" t="s">
        <v>123</v>
      </c>
      <c r="AW54" s="48"/>
      <c r="AX54" s="47" t="s">
        <v>123</v>
      </c>
      <c r="AY54" s="48"/>
      <c r="AZ54" s="47" t="s">
        <v>123</v>
      </c>
      <c r="BA54" s="48"/>
      <c r="BB54" s="47" t="s">
        <v>109</v>
      </c>
      <c r="BC54" s="48"/>
      <c r="BD54" s="47" t="s">
        <v>109</v>
      </c>
      <c r="BE54" s="48"/>
      <c r="BF54" s="47" t="s">
        <v>109</v>
      </c>
      <c r="BG54" s="48"/>
      <c r="BH54" s="56">
        <f>COUNTIFS(AB54:BG54,"Ф")</f>
        <v>5</v>
      </c>
      <c r="BI54" s="56"/>
      <c r="BJ54" s="56"/>
      <c r="BK54" s="56"/>
      <c r="BL54" s="47" t="s">
        <v>109</v>
      </c>
      <c r="BM54" s="48"/>
      <c r="BN54" s="47" t="s">
        <v>109</v>
      </c>
      <c r="BO54" s="48"/>
      <c r="BP54" s="47" t="s">
        <v>40</v>
      </c>
      <c r="BQ54" s="48"/>
      <c r="BR54" s="47" t="s">
        <v>40</v>
      </c>
      <c r="BS54" s="48"/>
      <c r="BT54" s="47" t="s">
        <v>109</v>
      </c>
      <c r="BU54" s="48"/>
      <c r="BV54" s="47" t="s">
        <v>109</v>
      </c>
      <c r="BW54" s="48"/>
      <c r="BX54" s="47" t="s">
        <v>109</v>
      </c>
      <c r="BY54" s="48"/>
      <c r="BZ54" s="47" t="s">
        <v>109</v>
      </c>
      <c r="CA54" s="48"/>
      <c r="CB54" s="47" t="s">
        <v>109</v>
      </c>
      <c r="CC54" s="48"/>
      <c r="CD54" s="47" t="s">
        <v>40</v>
      </c>
      <c r="CE54" s="48"/>
      <c r="CF54" s="47" t="s">
        <v>40</v>
      </c>
      <c r="CG54" s="48"/>
      <c r="CH54" s="47" t="s">
        <v>109</v>
      </c>
      <c r="CI54" s="48"/>
      <c r="CJ54" s="47" t="s">
        <v>109</v>
      </c>
      <c r="CK54" s="48"/>
      <c r="CL54" s="47" t="s">
        <v>109</v>
      </c>
      <c r="CM54" s="48"/>
      <c r="CN54" s="47" t="s">
        <v>109</v>
      </c>
      <c r="CO54" s="48"/>
      <c r="CP54" s="47" t="s">
        <v>109</v>
      </c>
      <c r="CQ54" s="48"/>
      <c r="CR54" s="47">
        <f>COUNTIFS(BL54:CQ54,"Ф") + BH54</f>
        <v>5</v>
      </c>
      <c r="CS54" s="49"/>
      <c r="CT54" s="49"/>
      <c r="CU54" s="50"/>
    </row>
    <row r="55" spans="1:118" ht="17.100000000000001" hidden="1" customHeight="1" thickBot="1" x14ac:dyDescent="0.25">
      <c r="A55" s="57" t="s">
        <v>140</v>
      </c>
      <c r="B55" s="57"/>
      <c r="C55" s="58" t="s">
        <v>80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60" t="s">
        <v>101</v>
      </c>
      <c r="P55" s="60"/>
      <c r="Q55" s="60"/>
      <c r="R55" s="60"/>
      <c r="S55" s="60"/>
      <c r="T55" s="60"/>
      <c r="U55" s="60"/>
      <c r="V55" s="60"/>
      <c r="W55" s="61" t="s">
        <v>102</v>
      </c>
      <c r="X55" s="61"/>
      <c r="Y55" s="61"/>
      <c r="Z55" s="61"/>
      <c r="AA55" s="61"/>
      <c r="AB55" s="61"/>
      <c r="AC55" s="61"/>
      <c r="AD55" s="51">
        <v>8</v>
      </c>
      <c r="AE55" s="52"/>
      <c r="AF55" s="51">
        <v>8</v>
      </c>
      <c r="AG55" s="52"/>
      <c r="AH55" s="51">
        <v>8</v>
      </c>
      <c r="AI55" s="52"/>
      <c r="AJ55" s="51"/>
      <c r="AK55" s="52"/>
      <c r="AL55" s="51"/>
      <c r="AM55" s="52"/>
      <c r="AN55" s="51">
        <v>8</v>
      </c>
      <c r="AO55" s="52"/>
      <c r="AP55" s="51">
        <v>8</v>
      </c>
      <c r="AQ55" s="52"/>
      <c r="AR55" s="51">
        <v>8</v>
      </c>
      <c r="AS55" s="52"/>
      <c r="AT55" s="51">
        <v>8</v>
      </c>
      <c r="AU55" s="52"/>
      <c r="AV55" s="51">
        <v>8</v>
      </c>
      <c r="AW55" s="52"/>
      <c r="AX55" s="51"/>
      <c r="AY55" s="52"/>
      <c r="AZ55" s="51"/>
      <c r="BA55" s="52"/>
      <c r="BB55" s="51"/>
      <c r="BC55" s="52"/>
      <c r="BD55" s="51"/>
      <c r="BE55" s="52"/>
      <c r="BF55" s="51"/>
      <c r="BG55" s="52"/>
      <c r="BH55" s="62">
        <f>SUM(AD55:BG55)</f>
        <v>64</v>
      </c>
      <c r="BI55" s="62"/>
      <c r="BJ55" s="62"/>
      <c r="BK55" s="62"/>
      <c r="BL55" s="51"/>
      <c r="BM55" s="52"/>
      <c r="BN55" s="51"/>
      <c r="BO55" s="52"/>
      <c r="BP55" s="51"/>
      <c r="BQ55" s="52"/>
      <c r="BR55" s="51"/>
      <c r="BS55" s="52"/>
      <c r="BT55" s="51"/>
      <c r="BU55" s="52"/>
      <c r="BV55" s="51"/>
      <c r="BW55" s="52"/>
      <c r="BX55" s="51"/>
      <c r="BY55" s="52"/>
      <c r="BZ55" s="51"/>
      <c r="CA55" s="52"/>
      <c r="CB55" s="51"/>
      <c r="CC55" s="52"/>
      <c r="CD55" s="51"/>
      <c r="CE55" s="52"/>
      <c r="CF55" s="51"/>
      <c r="CG55" s="52"/>
      <c r="CH55" s="51"/>
      <c r="CI55" s="52"/>
      <c r="CJ55" s="51"/>
      <c r="CK55" s="52"/>
      <c r="CL55" s="51"/>
      <c r="CM55" s="52"/>
      <c r="CN55" s="51"/>
      <c r="CO55" s="52"/>
      <c r="CP55" s="51"/>
      <c r="CQ55" s="52"/>
      <c r="CR55" s="53">
        <f>SUM(BL55:CQ55) +BH55</f>
        <v>64</v>
      </c>
      <c r="CS55" s="54"/>
      <c r="CT55" s="54"/>
      <c r="CU55" s="55"/>
    </row>
    <row r="56" spans="1:118" ht="17.100000000000001" hidden="1" customHeight="1" thickBot="1" x14ac:dyDescent="0.25">
      <c r="A56" s="57"/>
      <c r="B56" s="57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60"/>
      <c r="P56" s="60"/>
      <c r="Q56" s="60"/>
      <c r="R56" s="60"/>
      <c r="S56" s="60"/>
      <c r="T56" s="60"/>
      <c r="U56" s="60"/>
      <c r="V56" s="60"/>
      <c r="W56" s="63" t="s">
        <v>86</v>
      </c>
      <c r="X56" s="63"/>
      <c r="Y56" s="63"/>
      <c r="Z56" s="63"/>
      <c r="AA56" s="63"/>
      <c r="AB56" s="63"/>
      <c r="AC56" s="63"/>
      <c r="AD56" s="47" t="s">
        <v>39</v>
      </c>
      <c r="AE56" s="48"/>
      <c r="AF56" s="47" t="s">
        <v>39</v>
      </c>
      <c r="AG56" s="48"/>
      <c r="AH56" s="47" t="s">
        <v>39</v>
      </c>
      <c r="AI56" s="48"/>
      <c r="AJ56" s="47" t="s">
        <v>40</v>
      </c>
      <c r="AK56" s="48"/>
      <c r="AL56" s="47" t="s">
        <v>40</v>
      </c>
      <c r="AM56" s="48"/>
      <c r="AN56" s="47" t="s">
        <v>39</v>
      </c>
      <c r="AO56" s="48"/>
      <c r="AP56" s="47" t="s">
        <v>39</v>
      </c>
      <c r="AQ56" s="48"/>
      <c r="AR56" s="47" t="s">
        <v>39</v>
      </c>
      <c r="AS56" s="48"/>
      <c r="AT56" s="47" t="s">
        <v>39</v>
      </c>
      <c r="AU56" s="48"/>
      <c r="AV56" s="47" t="s">
        <v>39</v>
      </c>
      <c r="AW56" s="48"/>
      <c r="AX56" s="47" t="s">
        <v>40</v>
      </c>
      <c r="AY56" s="48"/>
      <c r="AZ56" s="47" t="s">
        <v>40</v>
      </c>
      <c r="BA56" s="48"/>
      <c r="BB56" s="47" t="s">
        <v>109</v>
      </c>
      <c r="BC56" s="48"/>
      <c r="BD56" s="47" t="s">
        <v>109</v>
      </c>
      <c r="BE56" s="48"/>
      <c r="BF56" s="47" t="s">
        <v>109</v>
      </c>
      <c r="BG56" s="48"/>
      <c r="BH56" s="56">
        <f>COUNTIFS(AB56:BG56,"Ф")</f>
        <v>8</v>
      </c>
      <c r="BI56" s="56"/>
      <c r="BJ56" s="56"/>
      <c r="BK56" s="56"/>
      <c r="BL56" s="47" t="s">
        <v>109</v>
      </c>
      <c r="BM56" s="48"/>
      <c r="BN56" s="47" t="s">
        <v>109</v>
      </c>
      <c r="BO56" s="48"/>
      <c r="BP56" s="47" t="s">
        <v>40</v>
      </c>
      <c r="BQ56" s="48"/>
      <c r="BR56" s="47" t="s">
        <v>40</v>
      </c>
      <c r="BS56" s="48"/>
      <c r="BT56" s="47" t="s">
        <v>109</v>
      </c>
      <c r="BU56" s="48"/>
      <c r="BV56" s="47" t="s">
        <v>109</v>
      </c>
      <c r="BW56" s="48"/>
      <c r="BX56" s="47" t="s">
        <v>109</v>
      </c>
      <c r="BY56" s="48"/>
      <c r="BZ56" s="47" t="s">
        <v>109</v>
      </c>
      <c r="CA56" s="48"/>
      <c r="CB56" s="47" t="s">
        <v>109</v>
      </c>
      <c r="CC56" s="48"/>
      <c r="CD56" s="47" t="s">
        <v>40</v>
      </c>
      <c r="CE56" s="48"/>
      <c r="CF56" s="47" t="s">
        <v>40</v>
      </c>
      <c r="CG56" s="48"/>
      <c r="CH56" s="47" t="s">
        <v>109</v>
      </c>
      <c r="CI56" s="48"/>
      <c r="CJ56" s="47" t="s">
        <v>109</v>
      </c>
      <c r="CK56" s="48"/>
      <c r="CL56" s="47" t="s">
        <v>109</v>
      </c>
      <c r="CM56" s="48"/>
      <c r="CN56" s="47" t="s">
        <v>109</v>
      </c>
      <c r="CO56" s="48"/>
      <c r="CP56" s="47" t="s">
        <v>109</v>
      </c>
      <c r="CQ56" s="48"/>
      <c r="CR56" s="47">
        <f>COUNTIFS(BL56:CQ56,"Ф") + BH56</f>
        <v>8</v>
      </c>
      <c r="CS56" s="49"/>
      <c r="CT56" s="49"/>
      <c r="CU56" s="50"/>
    </row>
    <row r="57" spans="1:118" ht="17.100000000000001" hidden="1" customHeight="1" thickBot="1" x14ac:dyDescent="0.25">
      <c r="A57" s="57" t="s">
        <v>141</v>
      </c>
      <c r="B57" s="57"/>
      <c r="C57" s="58" t="s">
        <v>82</v>
      </c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60" t="s">
        <v>83</v>
      </c>
      <c r="P57" s="60"/>
      <c r="Q57" s="60"/>
      <c r="R57" s="60"/>
      <c r="S57" s="60"/>
      <c r="T57" s="60"/>
      <c r="U57" s="60"/>
      <c r="V57" s="60"/>
      <c r="W57" s="61" t="s">
        <v>44</v>
      </c>
      <c r="X57" s="61"/>
      <c r="Y57" s="61"/>
      <c r="Z57" s="61"/>
      <c r="AA57" s="61"/>
      <c r="AB57" s="61"/>
      <c r="AC57" s="61"/>
      <c r="AD57" s="51">
        <v>8</v>
      </c>
      <c r="AE57" s="52"/>
      <c r="AF57" s="51">
        <v>8</v>
      </c>
      <c r="AG57" s="52"/>
      <c r="AH57" s="51">
        <v>8</v>
      </c>
      <c r="AI57" s="52"/>
      <c r="AJ57" s="51"/>
      <c r="AK57" s="52"/>
      <c r="AL57" s="51"/>
      <c r="AM57" s="52"/>
      <c r="AN57" s="51">
        <v>8</v>
      </c>
      <c r="AO57" s="52"/>
      <c r="AP57" s="51">
        <v>8</v>
      </c>
      <c r="AQ57" s="52"/>
      <c r="AR57" s="51">
        <v>8</v>
      </c>
      <c r="AS57" s="52"/>
      <c r="AT57" s="51">
        <v>8</v>
      </c>
      <c r="AU57" s="52"/>
      <c r="AV57" s="51">
        <v>8</v>
      </c>
      <c r="AW57" s="52"/>
      <c r="AX57" s="51"/>
      <c r="AY57" s="52"/>
      <c r="AZ57" s="51"/>
      <c r="BA57" s="52"/>
      <c r="BB57" s="51">
        <v>8</v>
      </c>
      <c r="BC57" s="52"/>
      <c r="BD57" s="51">
        <v>8</v>
      </c>
      <c r="BE57" s="52"/>
      <c r="BF57" s="51">
        <v>8</v>
      </c>
      <c r="BG57" s="52"/>
      <c r="BH57" s="62">
        <f>SUM(AD57:BG57)</f>
        <v>88</v>
      </c>
      <c r="BI57" s="62"/>
      <c r="BJ57" s="62"/>
      <c r="BK57" s="62"/>
      <c r="BL57" s="51">
        <v>8</v>
      </c>
      <c r="BM57" s="52"/>
      <c r="BN57" s="51">
        <v>8</v>
      </c>
      <c r="BO57" s="52"/>
      <c r="BP57" s="51"/>
      <c r="BQ57" s="52"/>
      <c r="BR57" s="51"/>
      <c r="BS57" s="52"/>
      <c r="BT57" s="51">
        <v>8</v>
      </c>
      <c r="BU57" s="52"/>
      <c r="BV57" s="51">
        <v>8</v>
      </c>
      <c r="BW57" s="52"/>
      <c r="BX57" s="51">
        <v>8</v>
      </c>
      <c r="BY57" s="52"/>
      <c r="BZ57" s="51">
        <v>8</v>
      </c>
      <c r="CA57" s="52"/>
      <c r="CB57" s="51">
        <v>8</v>
      </c>
      <c r="CC57" s="52"/>
      <c r="CD57" s="51"/>
      <c r="CE57" s="52"/>
      <c r="CF57" s="51"/>
      <c r="CG57" s="52"/>
      <c r="CH57" s="51">
        <v>8</v>
      </c>
      <c r="CI57" s="52"/>
      <c r="CJ57" s="51">
        <v>8</v>
      </c>
      <c r="CK57" s="52"/>
      <c r="CL57" s="51">
        <v>8</v>
      </c>
      <c r="CM57" s="52"/>
      <c r="CN57" s="51">
        <v>8</v>
      </c>
      <c r="CO57" s="52"/>
      <c r="CP57" s="51">
        <v>8</v>
      </c>
      <c r="CQ57" s="52"/>
      <c r="CR57" s="53">
        <f>SUM(BL57:CQ57) +BH57</f>
        <v>184</v>
      </c>
      <c r="CS57" s="54"/>
      <c r="CT57" s="54"/>
      <c r="CU57" s="55"/>
    </row>
    <row r="58" spans="1:118" ht="17.100000000000001" hidden="1" customHeight="1" thickBot="1" x14ac:dyDescent="0.25">
      <c r="A58" s="57"/>
      <c r="B58" s="57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60"/>
      <c r="P58" s="60"/>
      <c r="Q58" s="60"/>
      <c r="R58" s="60"/>
      <c r="S58" s="60"/>
      <c r="T58" s="60"/>
      <c r="U58" s="60"/>
      <c r="V58" s="60"/>
      <c r="W58" s="104" t="s">
        <v>75</v>
      </c>
      <c r="X58" s="104"/>
      <c r="Y58" s="104"/>
      <c r="Z58" s="104"/>
      <c r="AA58" s="104"/>
      <c r="AB58" s="104"/>
      <c r="AC58" s="104"/>
      <c r="AD58" s="47" t="s">
        <v>39</v>
      </c>
      <c r="AE58" s="48"/>
      <c r="AF58" s="47" t="s">
        <v>39</v>
      </c>
      <c r="AG58" s="48"/>
      <c r="AH58" s="47" t="s">
        <v>39</v>
      </c>
      <c r="AI58" s="48"/>
      <c r="AJ58" s="47" t="s">
        <v>40</v>
      </c>
      <c r="AK58" s="48"/>
      <c r="AL58" s="47" t="s">
        <v>40</v>
      </c>
      <c r="AM58" s="48"/>
      <c r="AN58" s="47" t="s">
        <v>39</v>
      </c>
      <c r="AO58" s="48"/>
      <c r="AP58" s="47" t="s">
        <v>39</v>
      </c>
      <c r="AQ58" s="48"/>
      <c r="AR58" s="47" t="s">
        <v>39</v>
      </c>
      <c r="AS58" s="48"/>
      <c r="AT58" s="47" t="s">
        <v>39</v>
      </c>
      <c r="AU58" s="48"/>
      <c r="AV58" s="47" t="s">
        <v>39</v>
      </c>
      <c r="AW58" s="48"/>
      <c r="AX58" s="47" t="s">
        <v>40</v>
      </c>
      <c r="AY58" s="48"/>
      <c r="AZ58" s="47" t="s">
        <v>40</v>
      </c>
      <c r="BA58" s="48"/>
      <c r="BB58" s="47" t="s">
        <v>39</v>
      </c>
      <c r="BC58" s="48"/>
      <c r="BD58" s="47" t="s">
        <v>39</v>
      </c>
      <c r="BE58" s="48"/>
      <c r="BF58" s="47" t="s">
        <v>39</v>
      </c>
      <c r="BG58" s="48"/>
      <c r="BH58" s="56">
        <f>COUNTIFS(AB58:BG58,"Ф")</f>
        <v>11</v>
      </c>
      <c r="BI58" s="56"/>
      <c r="BJ58" s="56"/>
      <c r="BK58" s="56"/>
      <c r="BL58" s="47" t="s">
        <v>39</v>
      </c>
      <c r="BM58" s="48"/>
      <c r="BN58" s="47" t="s">
        <v>39</v>
      </c>
      <c r="BO58" s="48"/>
      <c r="BP58" s="47" t="s">
        <v>40</v>
      </c>
      <c r="BQ58" s="48"/>
      <c r="BR58" s="47" t="s">
        <v>40</v>
      </c>
      <c r="BS58" s="48"/>
      <c r="BT58" s="47" t="s">
        <v>39</v>
      </c>
      <c r="BU58" s="48"/>
      <c r="BV58" s="47" t="s">
        <v>39</v>
      </c>
      <c r="BW58" s="48"/>
      <c r="BX58" s="47" t="s">
        <v>39</v>
      </c>
      <c r="BY58" s="48"/>
      <c r="BZ58" s="47" t="s">
        <v>39</v>
      </c>
      <c r="CA58" s="48"/>
      <c r="CB58" s="47" t="s">
        <v>39</v>
      </c>
      <c r="CC58" s="48"/>
      <c r="CD58" s="47" t="s">
        <v>40</v>
      </c>
      <c r="CE58" s="48"/>
      <c r="CF58" s="47" t="s">
        <v>40</v>
      </c>
      <c r="CG58" s="48"/>
      <c r="CH58" s="47" t="s">
        <v>39</v>
      </c>
      <c r="CI58" s="48"/>
      <c r="CJ58" s="47" t="s">
        <v>39</v>
      </c>
      <c r="CK58" s="48"/>
      <c r="CL58" s="47" t="s">
        <v>39</v>
      </c>
      <c r="CM58" s="48"/>
      <c r="CN58" s="47" t="s">
        <v>39</v>
      </c>
      <c r="CO58" s="48"/>
      <c r="CP58" s="47" t="s">
        <v>39</v>
      </c>
      <c r="CQ58" s="48"/>
      <c r="CR58" s="47">
        <f>COUNTIFS(BL58:CQ58,"Ф") + BH58</f>
        <v>23</v>
      </c>
      <c r="CS58" s="49"/>
      <c r="CT58" s="49"/>
      <c r="CU58" s="50"/>
    </row>
    <row r="59" spans="1:118" ht="17.100000000000001" hidden="1" customHeight="1" thickBot="1" x14ac:dyDescent="0.25">
      <c r="A59" s="57" t="s">
        <v>142</v>
      </c>
      <c r="B59" s="57"/>
      <c r="C59" s="58" t="s">
        <v>92</v>
      </c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60" t="s">
        <v>93</v>
      </c>
      <c r="P59" s="60"/>
      <c r="Q59" s="60"/>
      <c r="R59" s="60"/>
      <c r="S59" s="60"/>
      <c r="T59" s="60"/>
      <c r="U59" s="60"/>
      <c r="V59" s="60"/>
      <c r="W59" s="61" t="s">
        <v>44</v>
      </c>
      <c r="X59" s="61"/>
      <c r="Y59" s="61"/>
      <c r="Z59" s="61"/>
      <c r="AA59" s="61"/>
      <c r="AB59" s="61"/>
      <c r="AC59" s="61"/>
      <c r="AD59" s="51"/>
      <c r="AE59" s="52"/>
      <c r="AF59" s="51"/>
      <c r="AG59" s="52"/>
      <c r="AH59" s="51"/>
      <c r="AI59" s="52"/>
      <c r="AJ59" s="51"/>
      <c r="AK59" s="52"/>
      <c r="AL59" s="51"/>
      <c r="AM59" s="52"/>
      <c r="AN59" s="51">
        <v>8</v>
      </c>
      <c r="AO59" s="52"/>
      <c r="AP59" s="51">
        <v>8</v>
      </c>
      <c r="AQ59" s="52"/>
      <c r="AR59" s="51">
        <v>8</v>
      </c>
      <c r="AS59" s="52"/>
      <c r="AT59" s="51">
        <v>8</v>
      </c>
      <c r="AU59" s="52"/>
      <c r="AV59" s="51">
        <v>8</v>
      </c>
      <c r="AW59" s="52"/>
      <c r="AX59" s="51"/>
      <c r="AY59" s="52"/>
      <c r="AZ59" s="51"/>
      <c r="BA59" s="52"/>
      <c r="BB59" s="51">
        <v>8</v>
      </c>
      <c r="BC59" s="52"/>
      <c r="BD59" s="51">
        <v>8</v>
      </c>
      <c r="BE59" s="52"/>
      <c r="BF59" s="51">
        <v>8</v>
      </c>
      <c r="BG59" s="52"/>
      <c r="BH59" s="62">
        <f>SUM(AD59:BG59)</f>
        <v>64</v>
      </c>
      <c r="BI59" s="62"/>
      <c r="BJ59" s="62"/>
      <c r="BK59" s="62"/>
      <c r="BL59" s="51">
        <v>8</v>
      </c>
      <c r="BM59" s="52"/>
      <c r="BN59" s="51">
        <v>8</v>
      </c>
      <c r="BO59" s="52"/>
      <c r="BP59" s="51"/>
      <c r="BQ59" s="52"/>
      <c r="BR59" s="51"/>
      <c r="BS59" s="52"/>
      <c r="BT59" s="51">
        <v>8</v>
      </c>
      <c r="BU59" s="52"/>
      <c r="BV59" s="51">
        <v>8</v>
      </c>
      <c r="BW59" s="52"/>
      <c r="BX59" s="51">
        <v>8</v>
      </c>
      <c r="BY59" s="52"/>
      <c r="BZ59" s="51">
        <v>8</v>
      </c>
      <c r="CA59" s="52"/>
      <c r="CB59" s="51">
        <v>8</v>
      </c>
      <c r="CC59" s="52"/>
      <c r="CD59" s="51"/>
      <c r="CE59" s="52"/>
      <c r="CF59" s="51"/>
      <c r="CG59" s="52"/>
      <c r="CH59" s="51">
        <v>8</v>
      </c>
      <c r="CI59" s="52"/>
      <c r="CJ59" s="51">
        <v>8</v>
      </c>
      <c r="CK59" s="52"/>
      <c r="CL59" s="51">
        <v>8</v>
      </c>
      <c r="CM59" s="52"/>
      <c r="CN59" s="51">
        <v>8</v>
      </c>
      <c r="CO59" s="52"/>
      <c r="CP59" s="51">
        <v>8</v>
      </c>
      <c r="CQ59" s="52"/>
      <c r="CR59" s="53">
        <f>SUM(BL59:CQ59) +BH59</f>
        <v>160</v>
      </c>
      <c r="CS59" s="54"/>
      <c r="CT59" s="54"/>
      <c r="CU59" s="55"/>
    </row>
    <row r="60" spans="1:118" ht="17.100000000000001" hidden="1" customHeight="1" thickBot="1" x14ac:dyDescent="0.25">
      <c r="A60" s="57"/>
      <c r="B60" s="57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60"/>
      <c r="P60" s="60"/>
      <c r="Q60" s="60"/>
      <c r="R60" s="60"/>
      <c r="S60" s="60"/>
      <c r="T60" s="60"/>
      <c r="U60" s="60"/>
      <c r="V60" s="60"/>
      <c r="W60" s="63" t="s">
        <v>75</v>
      </c>
      <c r="X60" s="63"/>
      <c r="Y60" s="63"/>
      <c r="Z60" s="63"/>
      <c r="AA60" s="63"/>
      <c r="AB60" s="63"/>
      <c r="AC60" s="63"/>
      <c r="AD60" s="47" t="s">
        <v>108</v>
      </c>
      <c r="AE60" s="48"/>
      <c r="AF60" s="47" t="s">
        <v>108</v>
      </c>
      <c r="AG60" s="48"/>
      <c r="AH60" s="47" t="s">
        <v>108</v>
      </c>
      <c r="AI60" s="48"/>
      <c r="AJ60" s="47" t="s">
        <v>40</v>
      </c>
      <c r="AK60" s="48"/>
      <c r="AL60" s="47" t="s">
        <v>40</v>
      </c>
      <c r="AM60" s="48"/>
      <c r="AN60" s="47" t="s">
        <v>39</v>
      </c>
      <c r="AO60" s="48"/>
      <c r="AP60" s="47" t="s">
        <v>39</v>
      </c>
      <c r="AQ60" s="48"/>
      <c r="AR60" s="47" t="s">
        <v>39</v>
      </c>
      <c r="AS60" s="48"/>
      <c r="AT60" s="47" t="s">
        <v>39</v>
      </c>
      <c r="AU60" s="48"/>
      <c r="AV60" s="47" t="s">
        <v>39</v>
      </c>
      <c r="AW60" s="48"/>
      <c r="AX60" s="47" t="s">
        <v>40</v>
      </c>
      <c r="AY60" s="48"/>
      <c r="AZ60" s="47" t="s">
        <v>40</v>
      </c>
      <c r="BA60" s="48"/>
      <c r="BB60" s="47" t="s">
        <v>39</v>
      </c>
      <c r="BC60" s="48"/>
      <c r="BD60" s="47" t="s">
        <v>39</v>
      </c>
      <c r="BE60" s="48"/>
      <c r="BF60" s="47" t="s">
        <v>39</v>
      </c>
      <c r="BG60" s="48"/>
      <c r="BH60" s="56">
        <f>COUNTIFS(AB60:BG60,"Ф")</f>
        <v>8</v>
      </c>
      <c r="BI60" s="56"/>
      <c r="BJ60" s="56"/>
      <c r="BK60" s="56"/>
      <c r="BL60" s="47" t="s">
        <v>39</v>
      </c>
      <c r="BM60" s="48"/>
      <c r="BN60" s="47" t="s">
        <v>39</v>
      </c>
      <c r="BO60" s="48"/>
      <c r="BP60" s="47" t="s">
        <v>40</v>
      </c>
      <c r="BQ60" s="48"/>
      <c r="BR60" s="47" t="s">
        <v>40</v>
      </c>
      <c r="BS60" s="48"/>
      <c r="BT60" s="47" t="s">
        <v>39</v>
      </c>
      <c r="BU60" s="48"/>
      <c r="BV60" s="47" t="s">
        <v>39</v>
      </c>
      <c r="BW60" s="48"/>
      <c r="BX60" s="47" t="s">
        <v>39</v>
      </c>
      <c r="BY60" s="48"/>
      <c r="BZ60" s="47" t="s">
        <v>39</v>
      </c>
      <c r="CA60" s="48"/>
      <c r="CB60" s="47" t="s">
        <v>39</v>
      </c>
      <c r="CC60" s="48"/>
      <c r="CD60" s="47" t="s">
        <v>40</v>
      </c>
      <c r="CE60" s="48"/>
      <c r="CF60" s="47" t="s">
        <v>40</v>
      </c>
      <c r="CG60" s="48"/>
      <c r="CH60" s="47" t="s">
        <v>39</v>
      </c>
      <c r="CI60" s="48"/>
      <c r="CJ60" s="47" t="s">
        <v>39</v>
      </c>
      <c r="CK60" s="48"/>
      <c r="CL60" s="47" t="s">
        <v>39</v>
      </c>
      <c r="CM60" s="48"/>
      <c r="CN60" s="47" t="s">
        <v>39</v>
      </c>
      <c r="CO60" s="48"/>
      <c r="CP60" s="47" t="s">
        <v>39</v>
      </c>
      <c r="CQ60" s="48"/>
      <c r="CR60" s="47">
        <f>COUNTIFS(BL60:CQ60,"Ф") + BH60</f>
        <v>20</v>
      </c>
      <c r="CS60" s="49"/>
      <c r="CT60" s="49"/>
      <c r="CU60" s="50"/>
    </row>
    <row r="61" spans="1:118" ht="17.100000000000001" customHeight="1" thickBot="1" x14ac:dyDescent="0.25">
      <c r="A61" s="57" t="s">
        <v>8</v>
      </c>
      <c r="B61" s="57"/>
      <c r="C61" s="58" t="s">
        <v>137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9" t="s">
        <v>138</v>
      </c>
      <c r="P61" s="59"/>
      <c r="Q61" s="59"/>
      <c r="R61" s="59"/>
      <c r="S61" s="60"/>
      <c r="T61" s="60"/>
      <c r="U61" s="60"/>
      <c r="V61" s="60"/>
      <c r="W61" s="61" t="s">
        <v>139</v>
      </c>
      <c r="X61" s="61"/>
      <c r="Y61" s="61"/>
      <c r="Z61" s="61"/>
      <c r="AA61" s="61"/>
      <c r="AB61" s="61"/>
      <c r="AC61" s="61"/>
      <c r="AD61" s="51"/>
      <c r="AE61" s="52"/>
      <c r="AF61" s="51"/>
      <c r="AG61" s="52"/>
      <c r="AH61" s="51"/>
      <c r="AI61" s="52"/>
      <c r="AJ61" s="51"/>
      <c r="AK61" s="52"/>
      <c r="AL61" s="51"/>
      <c r="AM61" s="52"/>
      <c r="AN61" s="51"/>
      <c r="AO61" s="52"/>
      <c r="AP61" s="51"/>
      <c r="AQ61" s="52"/>
      <c r="AR61" s="51"/>
      <c r="AS61" s="52"/>
      <c r="AT61" s="51"/>
      <c r="AU61" s="52"/>
      <c r="AV61" s="51"/>
      <c r="AW61" s="52"/>
      <c r="AX61" s="51"/>
      <c r="AY61" s="52"/>
      <c r="AZ61" s="51"/>
      <c r="BA61" s="52"/>
      <c r="BB61" s="51"/>
      <c r="BC61" s="52"/>
      <c r="BD61" s="51"/>
      <c r="BE61" s="52"/>
      <c r="BF61" s="51"/>
      <c r="BG61" s="52"/>
      <c r="BH61" s="62">
        <f>SUM(AD61:BG61)</f>
        <v>0</v>
      </c>
      <c r="BI61" s="62"/>
      <c r="BJ61" s="62"/>
      <c r="BK61" s="62"/>
      <c r="BL61" s="51"/>
      <c r="BM61" s="52"/>
      <c r="BN61" s="51"/>
      <c r="BO61" s="52"/>
      <c r="BP61" s="51"/>
      <c r="BQ61" s="52"/>
      <c r="BR61" s="51"/>
      <c r="BS61" s="52"/>
      <c r="BT61" s="51"/>
      <c r="BU61" s="52"/>
      <c r="BV61" s="51"/>
      <c r="BW61" s="52"/>
      <c r="BX61" s="51"/>
      <c r="BY61" s="52"/>
      <c r="BZ61" s="51"/>
      <c r="CA61" s="52"/>
      <c r="CB61" s="51">
        <v>2</v>
      </c>
      <c r="CC61" s="52"/>
      <c r="CD61" s="51"/>
      <c r="CE61" s="52"/>
      <c r="CF61" s="51"/>
      <c r="CG61" s="52"/>
      <c r="CH61" s="51"/>
      <c r="CI61" s="52"/>
      <c r="CJ61" s="51"/>
      <c r="CK61" s="52"/>
      <c r="CL61" s="51"/>
      <c r="CM61" s="52"/>
      <c r="CN61" s="51"/>
      <c r="CO61" s="52"/>
      <c r="CP61" s="51"/>
      <c r="CQ61" s="52"/>
      <c r="CR61" s="53">
        <f>SUM(BL61:CQ61) +BH61</f>
        <v>2</v>
      </c>
      <c r="CS61" s="54"/>
      <c r="CT61" s="54"/>
      <c r="CU61" s="55"/>
    </row>
    <row r="62" spans="1:118" ht="17.100000000000001" customHeight="1" thickBot="1" x14ac:dyDescent="0.25">
      <c r="A62" s="57"/>
      <c r="B62" s="57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9"/>
      <c r="P62" s="59"/>
      <c r="Q62" s="59"/>
      <c r="R62" s="59"/>
      <c r="S62" s="60"/>
      <c r="T62" s="60"/>
      <c r="U62" s="60"/>
      <c r="V62" s="60"/>
      <c r="W62" s="63"/>
      <c r="X62" s="63"/>
      <c r="Y62" s="63"/>
      <c r="Z62" s="63"/>
      <c r="AA62" s="63"/>
      <c r="AB62" s="63"/>
      <c r="AC62" s="63"/>
      <c r="AD62" s="47"/>
      <c r="AE62" s="48"/>
      <c r="AF62" s="47"/>
      <c r="AG62" s="48"/>
      <c r="AH62" s="47"/>
      <c r="AI62" s="48"/>
      <c r="AJ62" s="47"/>
      <c r="AK62" s="48"/>
      <c r="AL62" s="47"/>
      <c r="AM62" s="48"/>
      <c r="AN62" s="47"/>
      <c r="AO62" s="48"/>
      <c r="AP62" s="47"/>
      <c r="AQ62" s="48"/>
      <c r="AR62" s="47"/>
      <c r="AS62" s="48"/>
      <c r="AT62" s="47"/>
      <c r="AU62" s="48"/>
      <c r="AV62" s="47"/>
      <c r="AW62" s="48"/>
      <c r="AX62" s="47"/>
      <c r="AY62" s="48"/>
      <c r="AZ62" s="47"/>
      <c r="BA62" s="48"/>
      <c r="BB62" s="47"/>
      <c r="BC62" s="48"/>
      <c r="BD62" s="47"/>
      <c r="BE62" s="48"/>
      <c r="BF62" s="47" t="s">
        <v>40</v>
      </c>
      <c r="BG62" s="48"/>
      <c r="BH62" s="56">
        <f>COUNTIFS(AB62:BG62,"Ф")</f>
        <v>0</v>
      </c>
      <c r="BI62" s="56"/>
      <c r="BJ62" s="56"/>
      <c r="BK62" s="56"/>
      <c r="BL62" s="47" t="s">
        <v>40</v>
      </c>
      <c r="BM62" s="48"/>
      <c r="BN62" s="47" t="s">
        <v>40</v>
      </c>
      <c r="BO62" s="48"/>
      <c r="BP62" s="47" t="s">
        <v>40</v>
      </c>
      <c r="BQ62" s="48"/>
      <c r="BR62" s="47" t="s">
        <v>40</v>
      </c>
      <c r="BS62" s="48"/>
      <c r="BT62" s="47" t="s">
        <v>40</v>
      </c>
      <c r="BU62" s="48"/>
      <c r="BV62" s="47" t="s">
        <v>40</v>
      </c>
      <c r="BW62" s="48"/>
      <c r="BX62" s="47" t="s">
        <v>40</v>
      </c>
      <c r="BY62" s="48"/>
      <c r="BZ62" s="47" t="s">
        <v>40</v>
      </c>
      <c r="CA62" s="48"/>
      <c r="CB62" s="47" t="s">
        <v>39</v>
      </c>
      <c r="CC62" s="48"/>
      <c r="CD62" s="47" t="s">
        <v>40</v>
      </c>
      <c r="CE62" s="48"/>
      <c r="CF62" s="47" t="s">
        <v>40</v>
      </c>
      <c r="CG62" s="48"/>
      <c r="CH62" s="47" t="s">
        <v>40</v>
      </c>
      <c r="CI62" s="48"/>
      <c r="CJ62" s="47" t="s">
        <v>40</v>
      </c>
      <c r="CK62" s="48"/>
      <c r="CL62" s="47" t="s">
        <v>40</v>
      </c>
      <c r="CM62" s="48"/>
      <c r="CN62" s="47" t="s">
        <v>40</v>
      </c>
      <c r="CO62" s="48"/>
      <c r="CP62" s="47" t="s">
        <v>40</v>
      </c>
      <c r="CQ62" s="48"/>
      <c r="CR62" s="47">
        <f>COUNTIFS(BL62:CQ62,"Ф") + BH62</f>
        <v>1</v>
      </c>
      <c r="CS62" s="49"/>
      <c r="CT62" s="49"/>
      <c r="CU62" s="50"/>
    </row>
    <row r="63" spans="1:118" ht="17.100000000000001" hidden="1" customHeight="1" thickBot="1" x14ac:dyDescent="0.25">
      <c r="A63" s="57" t="s">
        <v>143</v>
      </c>
      <c r="B63" s="57"/>
      <c r="C63" s="58" t="s">
        <v>74</v>
      </c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60">
        <v>6459</v>
      </c>
      <c r="P63" s="60"/>
      <c r="Q63" s="60"/>
      <c r="R63" s="60"/>
      <c r="S63" s="60"/>
      <c r="T63" s="60"/>
      <c r="U63" s="60"/>
      <c r="V63" s="60"/>
      <c r="W63" s="61" t="s">
        <v>44</v>
      </c>
      <c r="X63" s="61"/>
      <c r="Y63" s="61"/>
      <c r="Z63" s="61"/>
      <c r="AA63" s="61"/>
      <c r="AB63" s="61"/>
      <c r="AC63" s="61"/>
      <c r="AD63" s="51">
        <v>8</v>
      </c>
      <c r="AE63" s="52"/>
      <c r="AF63" s="51">
        <v>8</v>
      </c>
      <c r="AG63" s="52"/>
      <c r="AH63" s="51">
        <v>8</v>
      </c>
      <c r="AI63" s="52"/>
      <c r="AJ63" s="51"/>
      <c r="AK63" s="52"/>
      <c r="AL63" s="51"/>
      <c r="AM63" s="52"/>
      <c r="AN63" s="51"/>
      <c r="AO63" s="52"/>
      <c r="AP63" s="51">
        <v>8</v>
      </c>
      <c r="AQ63" s="52"/>
      <c r="AR63" s="51">
        <v>8</v>
      </c>
      <c r="AS63" s="52"/>
      <c r="AT63" s="51">
        <v>8</v>
      </c>
      <c r="AU63" s="52"/>
      <c r="AV63" s="51">
        <v>8</v>
      </c>
      <c r="AW63" s="52"/>
      <c r="AX63" s="51"/>
      <c r="AY63" s="52"/>
      <c r="AZ63" s="51"/>
      <c r="BA63" s="52"/>
      <c r="BB63" s="51">
        <v>8</v>
      </c>
      <c r="BC63" s="52"/>
      <c r="BD63" s="51">
        <v>8</v>
      </c>
      <c r="BE63" s="52"/>
      <c r="BF63" s="51">
        <v>8</v>
      </c>
      <c r="BG63" s="52"/>
      <c r="BH63" s="62">
        <f>SUM(AD63:BG63)</f>
        <v>80</v>
      </c>
      <c r="BI63" s="62"/>
      <c r="BJ63" s="62"/>
      <c r="BK63" s="62"/>
      <c r="BL63" s="51">
        <v>8</v>
      </c>
      <c r="BM63" s="52"/>
      <c r="BN63" s="51">
        <v>8</v>
      </c>
      <c r="BO63" s="52"/>
      <c r="BP63" s="51"/>
      <c r="BQ63" s="52"/>
      <c r="BR63" s="51"/>
      <c r="BS63" s="52"/>
      <c r="BT63" s="51">
        <v>8</v>
      </c>
      <c r="BU63" s="52"/>
      <c r="BV63" s="51">
        <v>8</v>
      </c>
      <c r="BW63" s="52"/>
      <c r="BX63" s="51">
        <v>8</v>
      </c>
      <c r="BY63" s="52"/>
      <c r="BZ63" s="51">
        <v>8</v>
      </c>
      <c r="CA63" s="52"/>
      <c r="CB63" s="51">
        <v>8</v>
      </c>
      <c r="CC63" s="52"/>
      <c r="CD63" s="51"/>
      <c r="CE63" s="52"/>
      <c r="CF63" s="51"/>
      <c r="CG63" s="52"/>
      <c r="CH63" s="51">
        <v>8</v>
      </c>
      <c r="CI63" s="52"/>
      <c r="CJ63" s="51"/>
      <c r="CK63" s="52"/>
      <c r="CL63" s="51"/>
      <c r="CM63" s="52"/>
      <c r="CN63" s="51"/>
      <c r="CO63" s="52"/>
      <c r="CP63" s="51"/>
      <c r="CQ63" s="52"/>
      <c r="CR63" s="53">
        <f>SUM(BL63:CQ63) +BH63</f>
        <v>144</v>
      </c>
      <c r="CS63" s="54"/>
      <c r="CT63" s="54"/>
      <c r="CU63" s="55"/>
    </row>
    <row r="64" spans="1:118" ht="17.100000000000001" hidden="1" customHeight="1" thickBot="1" x14ac:dyDescent="0.25">
      <c r="A64" s="57"/>
      <c r="B64" s="57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60"/>
      <c r="P64" s="60"/>
      <c r="Q64" s="60"/>
      <c r="R64" s="60"/>
      <c r="S64" s="60"/>
      <c r="T64" s="60"/>
      <c r="U64" s="60"/>
      <c r="V64" s="60"/>
      <c r="W64" s="63" t="s">
        <v>75</v>
      </c>
      <c r="X64" s="63"/>
      <c r="Y64" s="63"/>
      <c r="Z64" s="63"/>
      <c r="AA64" s="63"/>
      <c r="AB64" s="63"/>
      <c r="AC64" s="63"/>
      <c r="AD64" s="47" t="s">
        <v>39</v>
      </c>
      <c r="AE64" s="48"/>
      <c r="AF64" s="47" t="s">
        <v>39</v>
      </c>
      <c r="AG64" s="48"/>
      <c r="AH64" s="47" t="s">
        <v>39</v>
      </c>
      <c r="AI64" s="48"/>
      <c r="AJ64" s="47" t="s">
        <v>40</v>
      </c>
      <c r="AK64" s="48"/>
      <c r="AL64" s="47" t="s">
        <v>40</v>
      </c>
      <c r="AM64" s="48"/>
      <c r="AN64" s="47" t="s">
        <v>108</v>
      </c>
      <c r="AO64" s="48"/>
      <c r="AP64" s="47" t="s">
        <v>39</v>
      </c>
      <c r="AQ64" s="48"/>
      <c r="AR64" s="47" t="s">
        <v>39</v>
      </c>
      <c r="AS64" s="48"/>
      <c r="AT64" s="47" t="s">
        <v>39</v>
      </c>
      <c r="AU64" s="48"/>
      <c r="AV64" s="47" t="s">
        <v>39</v>
      </c>
      <c r="AW64" s="48"/>
      <c r="AX64" s="47" t="s">
        <v>40</v>
      </c>
      <c r="AY64" s="48"/>
      <c r="AZ64" s="47" t="s">
        <v>40</v>
      </c>
      <c r="BA64" s="48"/>
      <c r="BB64" s="47" t="s">
        <v>39</v>
      </c>
      <c r="BC64" s="48"/>
      <c r="BD64" s="47" t="s">
        <v>39</v>
      </c>
      <c r="BE64" s="48"/>
      <c r="BF64" s="47" t="s">
        <v>39</v>
      </c>
      <c r="BG64" s="48"/>
      <c r="BH64" s="56">
        <f>COUNTIFS(AB64:BG64,"Ф")</f>
        <v>10</v>
      </c>
      <c r="BI64" s="56"/>
      <c r="BJ64" s="56"/>
      <c r="BK64" s="56"/>
      <c r="BL64" s="47" t="s">
        <v>39</v>
      </c>
      <c r="BM64" s="48"/>
      <c r="BN64" s="47" t="s">
        <v>39</v>
      </c>
      <c r="BO64" s="48"/>
      <c r="BP64" s="47" t="s">
        <v>40</v>
      </c>
      <c r="BQ64" s="48"/>
      <c r="BR64" s="47" t="s">
        <v>40</v>
      </c>
      <c r="BS64" s="48"/>
      <c r="BT64" s="47" t="s">
        <v>39</v>
      </c>
      <c r="BU64" s="48"/>
      <c r="BV64" s="47" t="s">
        <v>39</v>
      </c>
      <c r="BW64" s="48"/>
      <c r="BX64" s="47" t="s">
        <v>39</v>
      </c>
      <c r="BY64" s="48"/>
      <c r="BZ64" s="47" t="s">
        <v>39</v>
      </c>
      <c r="CA64" s="48"/>
      <c r="CB64" s="47" t="s">
        <v>39</v>
      </c>
      <c r="CC64" s="48"/>
      <c r="CD64" s="47" t="s">
        <v>40</v>
      </c>
      <c r="CE64" s="48"/>
      <c r="CF64" s="47" t="s">
        <v>40</v>
      </c>
      <c r="CG64" s="48"/>
      <c r="CH64" s="47" t="s">
        <v>39</v>
      </c>
      <c r="CI64" s="48"/>
      <c r="CJ64" s="47" t="s">
        <v>108</v>
      </c>
      <c r="CK64" s="48"/>
      <c r="CL64" s="47" t="s">
        <v>108</v>
      </c>
      <c r="CM64" s="48"/>
      <c r="CN64" s="47" t="s">
        <v>108</v>
      </c>
      <c r="CO64" s="48"/>
      <c r="CP64" s="47" t="s">
        <v>108</v>
      </c>
      <c r="CQ64" s="48"/>
      <c r="CR64" s="47">
        <f>COUNTIFS(BL64:CQ64,"Ф") + BH64</f>
        <v>18</v>
      </c>
      <c r="CS64" s="49"/>
      <c r="CT64" s="49"/>
      <c r="CU64" s="50"/>
    </row>
    <row r="65" spans="1:99" ht="17.100000000000001" hidden="1" customHeight="1" thickBot="1" x14ac:dyDescent="0.25">
      <c r="A65" s="57" t="s">
        <v>144</v>
      </c>
      <c r="B65" s="57"/>
      <c r="C65" s="58" t="s">
        <v>112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80" t="s">
        <v>111</v>
      </c>
      <c r="P65" s="80"/>
      <c r="Q65" s="80"/>
      <c r="R65" s="80"/>
      <c r="S65" s="60"/>
      <c r="T65" s="60"/>
      <c r="U65" s="60"/>
      <c r="V65" s="60"/>
      <c r="W65" s="61" t="s">
        <v>49</v>
      </c>
      <c r="X65" s="61"/>
      <c r="Y65" s="61"/>
      <c r="Z65" s="61"/>
      <c r="AA65" s="61"/>
      <c r="AB65" s="61"/>
      <c r="AC65" s="61"/>
      <c r="AD65" s="51"/>
      <c r="AE65" s="52"/>
      <c r="AF65" s="51"/>
      <c r="AG65" s="52"/>
      <c r="AH65" s="51"/>
      <c r="AI65" s="52"/>
      <c r="AJ65" s="51"/>
      <c r="AK65" s="52"/>
      <c r="AL65" s="51"/>
      <c r="AM65" s="52"/>
      <c r="AN65" s="51">
        <v>8</v>
      </c>
      <c r="AO65" s="52"/>
      <c r="AP65" s="51">
        <v>8</v>
      </c>
      <c r="AQ65" s="52"/>
      <c r="AR65" s="51">
        <v>8</v>
      </c>
      <c r="AS65" s="52"/>
      <c r="AT65" s="51">
        <v>8</v>
      </c>
      <c r="AU65" s="52"/>
      <c r="AV65" s="51">
        <v>8</v>
      </c>
      <c r="AW65" s="52"/>
      <c r="AX65" s="51"/>
      <c r="AY65" s="52"/>
      <c r="AZ65" s="51"/>
      <c r="BA65" s="52"/>
      <c r="BB65" s="51">
        <v>8</v>
      </c>
      <c r="BC65" s="52"/>
      <c r="BD65" s="51">
        <v>8</v>
      </c>
      <c r="BE65" s="52"/>
      <c r="BF65" s="51">
        <v>8</v>
      </c>
      <c r="BG65" s="52"/>
      <c r="BH65" s="62">
        <f>SUM(AD65:BG65)</f>
        <v>64</v>
      </c>
      <c r="BI65" s="62"/>
      <c r="BJ65" s="62"/>
      <c r="BK65" s="62"/>
      <c r="BL65" s="51">
        <v>8</v>
      </c>
      <c r="BM65" s="52"/>
      <c r="BN65" s="51">
        <v>8</v>
      </c>
      <c r="BO65" s="52"/>
      <c r="BP65" s="51"/>
      <c r="BQ65" s="52"/>
      <c r="BR65" s="51"/>
      <c r="BS65" s="52"/>
      <c r="BT65" s="51">
        <v>8</v>
      </c>
      <c r="BU65" s="52"/>
      <c r="BV65" s="51">
        <v>8</v>
      </c>
      <c r="BW65" s="52"/>
      <c r="BX65" s="51">
        <v>8</v>
      </c>
      <c r="BY65" s="52"/>
      <c r="BZ65" s="51">
        <v>8</v>
      </c>
      <c r="CA65" s="52"/>
      <c r="CB65" s="51">
        <v>8</v>
      </c>
      <c r="CC65" s="52"/>
      <c r="CD65" s="51"/>
      <c r="CE65" s="52"/>
      <c r="CF65" s="51"/>
      <c r="CG65" s="52"/>
      <c r="CH65" s="51">
        <v>8</v>
      </c>
      <c r="CI65" s="52"/>
      <c r="CJ65" s="51">
        <v>8</v>
      </c>
      <c r="CK65" s="52"/>
      <c r="CL65" s="51">
        <v>8</v>
      </c>
      <c r="CM65" s="52"/>
      <c r="CN65" s="51">
        <v>8</v>
      </c>
      <c r="CO65" s="52"/>
      <c r="CP65" s="51">
        <v>8</v>
      </c>
      <c r="CQ65" s="52"/>
      <c r="CR65" s="53">
        <f>SUM(BL65:CQ65) +BH65</f>
        <v>160</v>
      </c>
      <c r="CS65" s="54"/>
      <c r="CT65" s="54"/>
      <c r="CU65" s="55"/>
    </row>
    <row r="66" spans="1:99" ht="17.100000000000001" hidden="1" customHeight="1" thickBot="1" x14ac:dyDescent="0.25">
      <c r="A66" s="57"/>
      <c r="B66" s="57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80"/>
      <c r="P66" s="80"/>
      <c r="Q66" s="80"/>
      <c r="R66" s="80"/>
      <c r="S66" s="60"/>
      <c r="T66" s="60"/>
      <c r="U66" s="60"/>
      <c r="V66" s="60"/>
      <c r="W66" s="63" t="s">
        <v>110</v>
      </c>
      <c r="X66" s="63"/>
      <c r="Y66" s="63"/>
      <c r="Z66" s="63"/>
      <c r="AA66" s="63"/>
      <c r="AB66" s="63"/>
      <c r="AC66" s="63"/>
      <c r="AD66" s="47" t="s">
        <v>108</v>
      </c>
      <c r="AE66" s="48"/>
      <c r="AF66" s="47" t="s">
        <v>108</v>
      </c>
      <c r="AG66" s="48"/>
      <c r="AH66" s="47" t="s">
        <v>108</v>
      </c>
      <c r="AI66" s="48"/>
      <c r="AJ66" s="47" t="s">
        <v>40</v>
      </c>
      <c r="AK66" s="48"/>
      <c r="AL66" s="47" t="s">
        <v>40</v>
      </c>
      <c r="AM66" s="48"/>
      <c r="AN66" s="47" t="s">
        <v>39</v>
      </c>
      <c r="AO66" s="48"/>
      <c r="AP66" s="47" t="s">
        <v>39</v>
      </c>
      <c r="AQ66" s="48"/>
      <c r="AR66" s="47" t="s">
        <v>39</v>
      </c>
      <c r="AS66" s="48"/>
      <c r="AT66" s="47" t="s">
        <v>39</v>
      </c>
      <c r="AU66" s="48"/>
      <c r="AV66" s="47" t="s">
        <v>39</v>
      </c>
      <c r="AW66" s="48"/>
      <c r="AX66" s="47" t="s">
        <v>40</v>
      </c>
      <c r="AY66" s="48"/>
      <c r="AZ66" s="47" t="s">
        <v>40</v>
      </c>
      <c r="BA66" s="48"/>
      <c r="BB66" s="47" t="s">
        <v>39</v>
      </c>
      <c r="BC66" s="48"/>
      <c r="BD66" s="47" t="s">
        <v>39</v>
      </c>
      <c r="BE66" s="48"/>
      <c r="BF66" s="47" t="s">
        <v>39</v>
      </c>
      <c r="BG66" s="48"/>
      <c r="BH66" s="56">
        <f>COUNTIFS(AB66:BG66,"Ф")</f>
        <v>8</v>
      </c>
      <c r="BI66" s="56"/>
      <c r="BJ66" s="56"/>
      <c r="BK66" s="56"/>
      <c r="BL66" s="47" t="s">
        <v>39</v>
      </c>
      <c r="BM66" s="48"/>
      <c r="BN66" s="47" t="s">
        <v>39</v>
      </c>
      <c r="BO66" s="48"/>
      <c r="BP66" s="47" t="s">
        <v>40</v>
      </c>
      <c r="BQ66" s="48"/>
      <c r="BR66" s="47" t="s">
        <v>40</v>
      </c>
      <c r="BS66" s="48"/>
      <c r="BT66" s="47" t="s">
        <v>39</v>
      </c>
      <c r="BU66" s="48"/>
      <c r="BV66" s="47" t="s">
        <v>39</v>
      </c>
      <c r="BW66" s="48"/>
      <c r="BX66" s="47" t="s">
        <v>39</v>
      </c>
      <c r="BY66" s="48"/>
      <c r="BZ66" s="47" t="s">
        <v>39</v>
      </c>
      <c r="CA66" s="48"/>
      <c r="CB66" s="47" t="s">
        <v>39</v>
      </c>
      <c r="CC66" s="48"/>
      <c r="CD66" s="47" t="s">
        <v>40</v>
      </c>
      <c r="CE66" s="48"/>
      <c r="CF66" s="47" t="s">
        <v>40</v>
      </c>
      <c r="CG66" s="48"/>
      <c r="CH66" s="47" t="s">
        <v>39</v>
      </c>
      <c r="CI66" s="48"/>
      <c r="CJ66" s="47" t="s">
        <v>39</v>
      </c>
      <c r="CK66" s="48"/>
      <c r="CL66" s="47" t="s">
        <v>39</v>
      </c>
      <c r="CM66" s="48"/>
      <c r="CN66" s="47" t="s">
        <v>39</v>
      </c>
      <c r="CO66" s="48"/>
      <c r="CP66" s="47" t="s">
        <v>39</v>
      </c>
      <c r="CQ66" s="48"/>
      <c r="CR66" s="47">
        <f>COUNTIFS(BL66:CQ66,"Ф") + BH66</f>
        <v>20</v>
      </c>
      <c r="CS66" s="49"/>
      <c r="CT66" s="49"/>
      <c r="CU66" s="50"/>
    </row>
    <row r="67" spans="1:99" ht="15.75" customHeight="1" x14ac:dyDescent="0.2"/>
    <row r="68" spans="1:99" ht="23.25" customHeight="1" x14ac:dyDescent="0.2">
      <c r="A68" s="86" t="s">
        <v>52</v>
      </c>
      <c r="B68" s="86"/>
      <c r="C68" s="86"/>
      <c r="D68" s="86"/>
      <c r="E68" s="86"/>
      <c r="F68" s="86"/>
      <c r="G68" s="86"/>
      <c r="H68" s="86"/>
      <c r="I68" s="86"/>
      <c r="J68" s="87" t="s">
        <v>67</v>
      </c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21"/>
      <c r="V68" s="82"/>
      <c r="W68" s="82"/>
      <c r="X68" s="82"/>
      <c r="Y68" s="82"/>
      <c r="Z68" s="82"/>
      <c r="AA68" s="82"/>
      <c r="AB68" s="82"/>
      <c r="AC68" s="82"/>
      <c r="AD68" s="82"/>
      <c r="AE68" s="21"/>
      <c r="AF68" s="82" t="s">
        <v>68</v>
      </c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21"/>
      <c r="AU68" s="21"/>
      <c r="AV68" s="21"/>
      <c r="AW68" s="21"/>
      <c r="AX68" s="22"/>
      <c r="AY68" s="23"/>
      <c r="AZ68" s="23"/>
      <c r="BA68" s="23"/>
      <c r="BB68" s="23"/>
      <c r="BC68" s="24" t="s">
        <v>53</v>
      </c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5"/>
    </row>
    <row r="69" spans="1:99" ht="9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85" t="s">
        <v>54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26"/>
      <c r="V69" s="85" t="s">
        <v>55</v>
      </c>
      <c r="W69" s="85"/>
      <c r="X69" s="85"/>
      <c r="Y69" s="85"/>
      <c r="Z69" s="85"/>
      <c r="AA69" s="85"/>
      <c r="AB69" s="85"/>
      <c r="AC69" s="85"/>
      <c r="AD69" s="85"/>
      <c r="AE69" s="26"/>
      <c r="AF69" s="85" t="s">
        <v>56</v>
      </c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21"/>
      <c r="AU69" s="21"/>
      <c r="AV69" s="21"/>
      <c r="AW69" s="21"/>
      <c r="AX69" s="27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8"/>
    </row>
    <row r="70" spans="1:99" ht="9.7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7"/>
      <c r="AY70" s="21" t="s">
        <v>57</v>
      </c>
      <c r="AZ70" s="21"/>
      <c r="BA70" s="29"/>
      <c r="BB70" s="21"/>
      <c r="BC70" s="21"/>
      <c r="BD70" s="21"/>
      <c r="BE70" s="21"/>
      <c r="BF70" s="21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21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21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30"/>
    </row>
    <row r="71" spans="1:99" ht="51" customHeight="1" x14ac:dyDescent="0.2">
      <c r="A71" s="86" t="s">
        <v>58</v>
      </c>
      <c r="B71" s="86"/>
      <c r="C71" s="86"/>
      <c r="D71" s="86"/>
      <c r="E71" s="86"/>
      <c r="F71" s="86"/>
      <c r="G71" s="86"/>
      <c r="H71" s="86"/>
      <c r="I71" s="86"/>
      <c r="J71" s="90" t="s">
        <v>121</v>
      </c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21"/>
      <c r="V71" s="82"/>
      <c r="W71" s="82"/>
      <c r="X71" s="82"/>
      <c r="Y71" s="82"/>
      <c r="Z71" s="82"/>
      <c r="AA71" s="82"/>
      <c r="AB71" s="82"/>
      <c r="AC71" s="82"/>
      <c r="AD71" s="82"/>
      <c r="AE71" s="21"/>
      <c r="AF71" s="82" t="s">
        <v>118</v>
      </c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21"/>
      <c r="AU71" s="21"/>
      <c r="AV71" s="21"/>
      <c r="AW71" s="21"/>
      <c r="AX71" s="31"/>
      <c r="AY71" s="32"/>
      <c r="AZ71" s="32"/>
      <c r="BA71" s="33"/>
      <c r="BB71" s="32"/>
      <c r="BC71" s="32"/>
      <c r="BD71" s="32"/>
      <c r="BE71" s="32"/>
      <c r="BF71" s="32"/>
      <c r="BG71" s="89" t="s">
        <v>54</v>
      </c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26"/>
      <c r="BU71" s="89" t="s">
        <v>55</v>
      </c>
      <c r="BV71" s="89"/>
      <c r="BW71" s="89"/>
      <c r="BX71" s="89"/>
      <c r="BY71" s="89"/>
      <c r="BZ71" s="89"/>
      <c r="CA71" s="89"/>
      <c r="CB71" s="89"/>
      <c r="CC71" s="89"/>
      <c r="CD71" s="89"/>
      <c r="CE71" s="26"/>
      <c r="CF71" s="89" t="s">
        <v>56</v>
      </c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30"/>
    </row>
    <row r="72" spans="1:99" ht="14.25" customHeight="1" x14ac:dyDescent="0.2">
      <c r="A72" s="34"/>
      <c r="B72" s="34"/>
      <c r="C72" s="34"/>
      <c r="D72" s="34"/>
      <c r="E72" s="34"/>
      <c r="F72" s="34"/>
      <c r="G72" s="34"/>
      <c r="H72" s="34"/>
      <c r="I72" s="34"/>
      <c r="J72" s="85" t="s">
        <v>54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26"/>
      <c r="V72" s="85" t="s">
        <v>55</v>
      </c>
      <c r="W72" s="85"/>
      <c r="X72" s="85"/>
      <c r="Y72" s="85"/>
      <c r="Z72" s="85"/>
      <c r="AA72" s="85"/>
      <c r="AB72" s="85"/>
      <c r="AC72" s="85"/>
      <c r="AD72" s="85"/>
      <c r="AE72" s="26"/>
      <c r="AF72" s="85" t="s">
        <v>56</v>
      </c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34"/>
      <c r="AU72" s="34"/>
      <c r="AV72" s="34"/>
      <c r="AW72" s="34"/>
      <c r="AX72" s="35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7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8"/>
    </row>
    <row r="73" spans="1:99" ht="37.5" customHeight="1" x14ac:dyDescent="0.2">
      <c r="A73" s="86" t="s">
        <v>59</v>
      </c>
      <c r="B73" s="86"/>
      <c r="C73" s="86"/>
      <c r="D73" s="86"/>
      <c r="E73" s="86"/>
      <c r="F73" s="86"/>
      <c r="G73" s="86"/>
      <c r="H73" s="86"/>
      <c r="I73" s="86"/>
      <c r="J73" s="87" t="s">
        <v>120</v>
      </c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21"/>
      <c r="V73" s="82"/>
      <c r="W73" s="82"/>
      <c r="X73" s="82"/>
      <c r="Y73" s="82"/>
      <c r="Z73" s="82"/>
      <c r="AA73" s="82"/>
      <c r="AB73" s="82"/>
      <c r="AC73" s="82"/>
      <c r="AD73" s="82"/>
      <c r="AE73" s="21"/>
      <c r="AF73" s="88" t="s">
        <v>119</v>
      </c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34"/>
      <c r="AU73" s="34"/>
      <c r="AV73" s="34"/>
      <c r="AW73" s="34"/>
      <c r="AX73" s="35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7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9"/>
    </row>
    <row r="74" spans="1:99" x14ac:dyDescent="0.2">
      <c r="A74" s="34"/>
      <c r="B74" s="34"/>
      <c r="C74" s="34"/>
      <c r="D74" s="34"/>
      <c r="E74" s="34"/>
      <c r="F74" s="34"/>
      <c r="G74" s="34"/>
      <c r="H74" s="34"/>
      <c r="I74" s="34"/>
      <c r="J74" s="85" t="s">
        <v>54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26"/>
      <c r="V74" s="85" t="s">
        <v>55</v>
      </c>
      <c r="W74" s="85"/>
      <c r="X74" s="85"/>
      <c r="Y74" s="85"/>
      <c r="Z74" s="85"/>
      <c r="AA74" s="85"/>
      <c r="AB74" s="85"/>
      <c r="AC74" s="85"/>
      <c r="AD74" s="85"/>
      <c r="AE74" s="26"/>
      <c r="AF74" s="85" t="s">
        <v>56</v>
      </c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34"/>
      <c r="AU74" s="34"/>
      <c r="AV74" s="34"/>
      <c r="AW74" s="34"/>
      <c r="AX74" s="35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7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9"/>
    </row>
    <row r="75" spans="1:99" x14ac:dyDescent="0.2">
      <c r="A75" s="40" t="s">
        <v>60</v>
      </c>
      <c r="B75" s="83" t="s">
        <v>146</v>
      </c>
      <c r="C75" s="83"/>
      <c r="D75" s="83"/>
      <c r="E75" s="40" t="s">
        <v>61</v>
      </c>
      <c r="F75" s="83" t="s">
        <v>122</v>
      </c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40"/>
      <c r="S75" s="40"/>
      <c r="T75" s="41" t="s">
        <v>8</v>
      </c>
      <c r="U75" s="84" t="s">
        <v>99</v>
      </c>
      <c r="V75" s="84"/>
      <c r="W75" s="40" t="s">
        <v>9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31"/>
      <c r="AY75" s="40" t="s">
        <v>60</v>
      </c>
      <c r="AZ75" s="83" t="s">
        <v>146</v>
      </c>
      <c r="BA75" s="83"/>
      <c r="BB75" s="83"/>
      <c r="BC75" s="40" t="s">
        <v>61</v>
      </c>
      <c r="BD75" s="83" t="s">
        <v>122</v>
      </c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40"/>
      <c r="BQ75" s="40"/>
      <c r="BR75" s="41" t="s">
        <v>8</v>
      </c>
      <c r="BS75" s="84" t="s">
        <v>99</v>
      </c>
      <c r="BT75" s="84"/>
      <c r="BU75" s="40" t="s">
        <v>9</v>
      </c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9"/>
    </row>
    <row r="76" spans="1:99" ht="6.75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42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38"/>
    </row>
    <row r="77" spans="1:99" ht="6.75" customHeight="1" x14ac:dyDescent="0.2">
      <c r="AX77" s="44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6"/>
    </row>
  </sheetData>
  <mergeCells count="1932">
    <mergeCell ref="CN64:CO64"/>
    <mergeCell ref="CH28:CI28"/>
    <mergeCell ref="CJ28:CK28"/>
    <mergeCell ref="CL28:CM28"/>
    <mergeCell ref="CN28:CO28"/>
    <mergeCell ref="CP28:CQ28"/>
    <mergeCell ref="CR28:CU28"/>
    <mergeCell ref="A43:B44"/>
    <mergeCell ref="C43:N44"/>
    <mergeCell ref="O43:R44"/>
    <mergeCell ref="S43:V44"/>
    <mergeCell ref="W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CN44:CO44"/>
    <mergeCell ref="A29:B30"/>
    <mergeCell ref="CR30:CU30"/>
    <mergeCell ref="CP30:CQ30"/>
    <mergeCell ref="CN30:CO30"/>
    <mergeCell ref="CJ30:CK30"/>
    <mergeCell ref="CL30:CM30"/>
    <mergeCell ref="CN32:CO32"/>
    <mergeCell ref="CD64:CE64"/>
    <mergeCell ref="CF64:CG64"/>
    <mergeCell ref="CH64:CI64"/>
    <mergeCell ref="CJ64:CK64"/>
    <mergeCell ref="CL64:CM64"/>
    <mergeCell ref="BP64:BQ64"/>
    <mergeCell ref="BR64:BS64"/>
    <mergeCell ref="BT64:BU64"/>
    <mergeCell ref="BV64:BW64"/>
    <mergeCell ref="CL32:CM32"/>
    <mergeCell ref="CF44:CG44"/>
    <mergeCell ref="CD58:CE58"/>
    <mergeCell ref="CJ34:CK34"/>
    <mergeCell ref="CB31:CC31"/>
    <mergeCell ref="BZ57:CA57"/>
    <mergeCell ref="BX57:BY57"/>
    <mergeCell ref="BV57:BW57"/>
    <mergeCell ref="BT57:BU57"/>
    <mergeCell ref="BR57:BS57"/>
    <mergeCell ref="BP43:BQ43"/>
    <mergeCell ref="BR43:BS43"/>
    <mergeCell ref="CJ44:CK44"/>
    <mergeCell ref="CL44:CM44"/>
    <mergeCell ref="BV44:BW44"/>
    <mergeCell ref="BX44:BY44"/>
    <mergeCell ref="CH44:CI44"/>
    <mergeCell ref="CL46:CM46"/>
    <mergeCell ref="CJ33:CK33"/>
    <mergeCell ref="CF31:CG31"/>
    <mergeCell ref="CF56:CG56"/>
    <mergeCell ref="CJ55:CK55"/>
    <mergeCell ref="BZ32:CA32"/>
    <mergeCell ref="CP64:CQ64"/>
    <mergeCell ref="CR64:CU64"/>
    <mergeCell ref="BV43:BW43"/>
    <mergeCell ref="CB63:CC63"/>
    <mergeCell ref="A27:B28"/>
    <mergeCell ref="C27:N28"/>
    <mergeCell ref="O27:R28"/>
    <mergeCell ref="S27:V28"/>
    <mergeCell ref="W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BT43:BU43"/>
    <mergeCell ref="S33:V34"/>
    <mergeCell ref="W28:AC28"/>
    <mergeCell ref="AD28:AE28"/>
    <mergeCell ref="AF28:AG28"/>
    <mergeCell ref="AH28:AI28"/>
    <mergeCell ref="AJ28:AK28"/>
    <mergeCell ref="AZ37:BA37"/>
    <mergeCell ref="BB31:BC31"/>
    <mergeCell ref="BD34:BE34"/>
    <mergeCell ref="BN33:BO33"/>
    <mergeCell ref="A63:B64"/>
    <mergeCell ref="C63:N64"/>
    <mergeCell ref="O63:R64"/>
    <mergeCell ref="S63:V64"/>
    <mergeCell ref="W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AD64:AE64"/>
    <mergeCell ref="W64:AC64"/>
    <mergeCell ref="CL34:CM34"/>
    <mergeCell ref="CN34:CO34"/>
    <mergeCell ref="CP34:CQ34"/>
    <mergeCell ref="CR34:CU34"/>
    <mergeCell ref="CL33:CM33"/>
    <mergeCell ref="CN33:CO33"/>
    <mergeCell ref="CP33:CQ33"/>
    <mergeCell ref="BP63:BQ63"/>
    <mergeCell ref="BR63:BS63"/>
    <mergeCell ref="BL36:BM36"/>
    <mergeCell ref="BP44:BQ44"/>
    <mergeCell ref="CR33:CU33"/>
    <mergeCell ref="CJ60:CK60"/>
    <mergeCell ref="CL60:CM60"/>
    <mergeCell ref="CN60:CO60"/>
    <mergeCell ref="CP60:CQ60"/>
    <mergeCell ref="CR60:CU60"/>
    <mergeCell ref="CJ59:CK59"/>
    <mergeCell ref="CL59:CM59"/>
    <mergeCell ref="CN59:CO59"/>
    <mergeCell ref="CP59:CQ59"/>
    <mergeCell ref="CP44:CQ44"/>
    <mergeCell ref="CN46:CO46"/>
    <mergeCell ref="CP46:CQ46"/>
    <mergeCell ref="CR46:CU46"/>
    <mergeCell ref="CR44:CU44"/>
    <mergeCell ref="BT60:BU60"/>
    <mergeCell ref="CB44:CC44"/>
    <mergeCell ref="CR54:CU54"/>
    <mergeCell ref="CN57:CO57"/>
    <mergeCell ref="CR58:CU58"/>
    <mergeCell ref="CP58:CQ58"/>
    <mergeCell ref="AV59:AW59"/>
    <mergeCell ref="BN64:BO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BB64:BC64"/>
    <mergeCell ref="BD64:BE64"/>
    <mergeCell ref="BF64:BG64"/>
    <mergeCell ref="BH64:BK64"/>
    <mergeCell ref="BB60:BC60"/>
    <mergeCell ref="BD60:BE60"/>
    <mergeCell ref="BF60:BG60"/>
    <mergeCell ref="BD63:BE63"/>
    <mergeCell ref="BH63:BK63"/>
    <mergeCell ref="BL63:BM63"/>
    <mergeCell ref="BN63:BO63"/>
    <mergeCell ref="AX59:AY59"/>
    <mergeCell ref="BF59:BG59"/>
    <mergeCell ref="BN61:BO61"/>
    <mergeCell ref="BL62:BM62"/>
    <mergeCell ref="BN62:BO62"/>
    <mergeCell ref="AF62:AG62"/>
    <mergeCell ref="AH62:AI62"/>
    <mergeCell ref="AJ62:AK62"/>
    <mergeCell ref="AL35:AM35"/>
    <mergeCell ref="AN35:AO35"/>
    <mergeCell ref="AF38:AG38"/>
    <mergeCell ref="AF36:AG36"/>
    <mergeCell ref="AH36:AI36"/>
    <mergeCell ref="AN33:AO33"/>
    <mergeCell ref="CN43:CO43"/>
    <mergeCell ref="CP43:CQ43"/>
    <mergeCell ref="CR43:CU43"/>
    <mergeCell ref="BV60:BW60"/>
    <mergeCell ref="BX60:BY60"/>
    <mergeCell ref="BZ59:CA59"/>
    <mergeCell ref="BZ60:CA60"/>
    <mergeCell ref="BH59:BK59"/>
    <mergeCell ref="BX43:BY43"/>
    <mergeCell ref="BZ43:CA43"/>
    <mergeCell ref="CB43:CC43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W60"/>
    <mergeCell ref="AX60:AY60"/>
    <mergeCell ref="AP59:AQ59"/>
    <mergeCell ref="BL60:BM60"/>
    <mergeCell ref="BN60:BO60"/>
    <mergeCell ref="BP60:BQ60"/>
    <mergeCell ref="BR60:BS60"/>
    <mergeCell ref="A59:B60"/>
    <mergeCell ref="C59:N60"/>
    <mergeCell ref="O59:R60"/>
    <mergeCell ref="S59:V60"/>
    <mergeCell ref="W59:AC59"/>
    <mergeCell ref="AD59:AE59"/>
    <mergeCell ref="AF59:AG59"/>
    <mergeCell ref="AH59:AI59"/>
    <mergeCell ref="AJ59:AK59"/>
    <mergeCell ref="AL59:AM59"/>
    <mergeCell ref="AN59:AO59"/>
    <mergeCell ref="AJ57:AK57"/>
    <mergeCell ref="AL55:AM55"/>
    <mergeCell ref="AX53:AY53"/>
    <mergeCell ref="CD44:CE44"/>
    <mergeCell ref="CP56:CQ56"/>
    <mergeCell ref="CF58:CG58"/>
    <mergeCell ref="CB57:CC57"/>
    <mergeCell ref="BR44:BS44"/>
    <mergeCell ref="BP45:BQ45"/>
    <mergeCell ref="AT58:AU58"/>
    <mergeCell ref="W58:AC58"/>
    <mergeCell ref="AH55:AI55"/>
    <mergeCell ref="W55:AC55"/>
    <mergeCell ref="W60:AC60"/>
    <mergeCell ref="AD60:AE60"/>
    <mergeCell ref="O57:R58"/>
    <mergeCell ref="AR59:AS59"/>
    <mergeCell ref="AT59:AU59"/>
    <mergeCell ref="CJ56:CK56"/>
    <mergeCell ref="AV57:AW57"/>
    <mergeCell ref="AX56:AY56"/>
    <mergeCell ref="CR55:CU55"/>
    <mergeCell ref="O29:R30"/>
    <mergeCell ref="S29:V30"/>
    <mergeCell ref="W29:AC29"/>
    <mergeCell ref="AD29:AE29"/>
    <mergeCell ref="AD30:AE30"/>
    <mergeCell ref="AD32:AE32"/>
    <mergeCell ref="AR54:AS54"/>
    <mergeCell ref="AT54:AU54"/>
    <mergeCell ref="AT36:AU36"/>
    <mergeCell ref="S57:V58"/>
    <mergeCell ref="AJ56:AK56"/>
    <mergeCell ref="AF56:AG56"/>
    <mergeCell ref="AJ58:AK58"/>
    <mergeCell ref="AL58:AM58"/>
    <mergeCell ref="AN57:AO57"/>
    <mergeCell ref="AL57:AM57"/>
    <mergeCell ref="S31:V32"/>
    <mergeCell ref="AN37:AO37"/>
    <mergeCell ref="W44:AC44"/>
    <mergeCell ref="AD44:AE44"/>
    <mergeCell ref="AF44:AG44"/>
    <mergeCell ref="AH44:AI44"/>
    <mergeCell ref="AJ44:AK44"/>
    <mergeCell ref="AL44:AM44"/>
    <mergeCell ref="AF29:AG29"/>
    <mergeCell ref="AL45:AM45"/>
    <mergeCell ref="W31:AC31"/>
    <mergeCell ref="W57:AC57"/>
    <mergeCell ref="W33:AC33"/>
    <mergeCell ref="AD33:AE33"/>
    <mergeCell ref="AF33:AG33"/>
    <mergeCell ref="AH33:AI33"/>
    <mergeCell ref="AV30:AW30"/>
    <mergeCell ref="AL34:AM34"/>
    <mergeCell ref="AN54:AO54"/>
    <mergeCell ref="AF45:AG45"/>
    <mergeCell ref="W46:AC46"/>
    <mergeCell ref="AR32:AS32"/>
    <mergeCell ref="AP35:AQ35"/>
    <mergeCell ref="AR35:AS35"/>
    <mergeCell ref="AV37:AW37"/>
    <mergeCell ref="AX37:AY37"/>
    <mergeCell ref="AJ36:AK36"/>
    <mergeCell ref="AL36:AM36"/>
    <mergeCell ref="AJ35:AK35"/>
    <mergeCell ref="AF54:AG54"/>
    <mergeCell ref="AN34:AO34"/>
    <mergeCell ref="AP34:AQ34"/>
    <mergeCell ref="AR31:AS31"/>
    <mergeCell ref="AV32:AW32"/>
    <mergeCell ref="AF37:AG37"/>
    <mergeCell ref="W53:AC53"/>
    <mergeCell ref="W35:AC35"/>
    <mergeCell ref="AH32:AI32"/>
    <mergeCell ref="AR34:AS34"/>
    <mergeCell ref="AT34:AU34"/>
    <mergeCell ref="AV34:AW34"/>
    <mergeCell ref="AX32:AY32"/>
    <mergeCell ref="AF31:AG31"/>
    <mergeCell ref="AD35:AE35"/>
    <mergeCell ref="AF35:AG35"/>
    <mergeCell ref="AD37:AE37"/>
    <mergeCell ref="AP33:AQ33"/>
    <mergeCell ref="AR33:AS33"/>
    <mergeCell ref="BH32:BK32"/>
    <mergeCell ref="BT32:BU32"/>
    <mergeCell ref="BB26:BC26"/>
    <mergeCell ref="BB30:BC30"/>
    <mergeCell ref="BR25:BS25"/>
    <mergeCell ref="BT25:BU25"/>
    <mergeCell ref="BV25:BW25"/>
    <mergeCell ref="BX25:BY25"/>
    <mergeCell ref="BZ25:CA25"/>
    <mergeCell ref="BZ26:CA26"/>
    <mergeCell ref="BL27:BM27"/>
    <mergeCell ref="BN27:BO27"/>
    <mergeCell ref="BP27:BQ27"/>
    <mergeCell ref="BF29:BG29"/>
    <mergeCell ref="BH29:BK29"/>
    <mergeCell ref="BL29:BM29"/>
    <mergeCell ref="BN29:BO29"/>
    <mergeCell ref="BP26:BQ26"/>
    <mergeCell ref="BR26:BS26"/>
    <mergeCell ref="BV27:BW27"/>
    <mergeCell ref="AZ27:BA27"/>
    <mergeCell ref="BB27:BC27"/>
    <mergeCell ref="BD27:BE27"/>
    <mergeCell ref="BF27:BG27"/>
    <mergeCell ref="BH27:BK27"/>
    <mergeCell ref="AV25:AW25"/>
    <mergeCell ref="BD26:BE26"/>
    <mergeCell ref="BF32:BG32"/>
    <mergeCell ref="BD31:BE31"/>
    <mergeCell ref="BF31:BG31"/>
    <mergeCell ref="AX31:AY31"/>
    <mergeCell ref="AH31:AI31"/>
    <mergeCell ref="AH29:AI29"/>
    <mergeCell ref="CR17:CU17"/>
    <mergeCell ref="BL16:BM16"/>
    <mergeCell ref="BN16:BO16"/>
    <mergeCell ref="BP16:BQ16"/>
    <mergeCell ref="BV28:BW28"/>
    <mergeCell ref="BX28:BY28"/>
    <mergeCell ref="BZ28:CA28"/>
    <mergeCell ref="CB28:CC28"/>
    <mergeCell ref="CD21:CE21"/>
    <mergeCell ref="CF21:CG21"/>
    <mergeCell ref="CF18:CG18"/>
    <mergeCell ref="BL17:BM17"/>
    <mergeCell ref="BN17:BO17"/>
    <mergeCell ref="BP17:BQ17"/>
    <mergeCell ref="CR19:CU19"/>
    <mergeCell ref="CN19:CO19"/>
    <mergeCell ref="CR18:CU18"/>
    <mergeCell ref="BP18:BQ18"/>
    <mergeCell ref="BR18:BS18"/>
    <mergeCell ref="CP16:CQ16"/>
    <mergeCell ref="CR16:CU16"/>
    <mergeCell ref="CN17:CO17"/>
    <mergeCell ref="CP17:CQ17"/>
    <mergeCell ref="CP19:CQ19"/>
    <mergeCell ref="CJ17:CK17"/>
    <mergeCell ref="CH18:CI18"/>
    <mergeCell ref="CJ18:CK18"/>
    <mergeCell ref="CL18:CM18"/>
    <mergeCell ref="CN18:CO18"/>
    <mergeCell ref="CP18:CQ18"/>
    <mergeCell ref="C25:N26"/>
    <mergeCell ref="O25:R26"/>
    <mergeCell ref="AN15:AO15"/>
    <mergeCell ref="A16:N16"/>
    <mergeCell ref="O16:R16"/>
    <mergeCell ref="S16:V16"/>
    <mergeCell ref="A15:N15"/>
    <mergeCell ref="AT25:AU25"/>
    <mergeCell ref="S25:V26"/>
    <mergeCell ref="W25:AC25"/>
    <mergeCell ref="W26:AC26"/>
    <mergeCell ref="AJ25:AK25"/>
    <mergeCell ref="AL25:AM25"/>
    <mergeCell ref="AN25:AO25"/>
    <mergeCell ref="AP25:AQ25"/>
    <mergeCell ref="AR25:AS25"/>
    <mergeCell ref="AR26:AS26"/>
    <mergeCell ref="S19:V19"/>
    <mergeCell ref="W19:AC19"/>
    <mergeCell ref="AD19:AE19"/>
    <mergeCell ref="AF19:AG19"/>
    <mergeCell ref="AH19:AI19"/>
    <mergeCell ref="A17:N17"/>
    <mergeCell ref="O17:R17"/>
    <mergeCell ref="S17:V17"/>
    <mergeCell ref="W17:AC17"/>
    <mergeCell ref="AD17:AE17"/>
    <mergeCell ref="AH17:AI17"/>
    <mergeCell ref="AJ17:AK17"/>
    <mergeCell ref="AL17:AM17"/>
    <mergeCell ref="AH16:AI16"/>
    <mergeCell ref="AJ16:AK16"/>
    <mergeCell ref="A18:N18"/>
    <mergeCell ref="CP15:CQ15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Z16:CA16"/>
    <mergeCell ref="CB16:CC16"/>
    <mergeCell ref="CD16:CE16"/>
    <mergeCell ref="CF16:CG16"/>
    <mergeCell ref="CH16:CI16"/>
    <mergeCell ref="CJ16:CK16"/>
    <mergeCell ref="BD18:BE18"/>
    <mergeCell ref="AN16:AO16"/>
    <mergeCell ref="CL17:CM17"/>
    <mergeCell ref="BX16:BY16"/>
    <mergeCell ref="AP16:AQ16"/>
    <mergeCell ref="AR16:AS16"/>
    <mergeCell ref="AT16:AU16"/>
    <mergeCell ref="AV16:AW16"/>
    <mergeCell ref="CN15:CO15"/>
    <mergeCell ref="O18:R18"/>
    <mergeCell ref="S18:V18"/>
    <mergeCell ref="W18:AC18"/>
    <mergeCell ref="AD18:AE18"/>
    <mergeCell ref="AF18:AG18"/>
    <mergeCell ref="CN16:CO16"/>
    <mergeCell ref="CR15:CU15"/>
    <mergeCell ref="AR4:BC4"/>
    <mergeCell ref="A5:CI6"/>
    <mergeCell ref="CJ6:CU6"/>
    <mergeCell ref="CJ7:CU7"/>
    <mergeCell ref="AK8:AM8"/>
    <mergeCell ref="AO8:BC8"/>
    <mergeCell ref="BF8:BH8"/>
    <mergeCell ref="CJ8:CU8"/>
    <mergeCell ref="Q9:BV9"/>
    <mergeCell ref="CJ9:CU9"/>
    <mergeCell ref="Q10:BV10"/>
    <mergeCell ref="CJ10:CU10"/>
    <mergeCell ref="Q11:BV11"/>
    <mergeCell ref="CJ11:CU11"/>
    <mergeCell ref="V12:BQ12"/>
    <mergeCell ref="CJ12:CU12"/>
    <mergeCell ref="A14:N14"/>
    <mergeCell ref="O14:V14"/>
    <mergeCell ref="BV15:BW15"/>
    <mergeCell ref="BX15:BY15"/>
    <mergeCell ref="BZ15:CA15"/>
    <mergeCell ref="W14:AC14"/>
    <mergeCell ref="AD14:CU14"/>
    <mergeCell ref="AP15:AQ15"/>
    <mergeCell ref="AR15:AS15"/>
    <mergeCell ref="AT15:AU15"/>
    <mergeCell ref="O15:V15"/>
    <mergeCell ref="BP15:BQ15"/>
    <mergeCell ref="BR15:BS15"/>
    <mergeCell ref="BT15:BU15"/>
    <mergeCell ref="AX15:AY15"/>
    <mergeCell ref="CJ15:CK15"/>
    <mergeCell ref="CL15:CM15"/>
    <mergeCell ref="BT16:BU16"/>
    <mergeCell ref="BV16:BW16"/>
    <mergeCell ref="AZ15:BA15"/>
    <mergeCell ref="BB15:BC15"/>
    <mergeCell ref="BD15:BE15"/>
    <mergeCell ref="AV15:AW15"/>
    <mergeCell ref="AX16:AY16"/>
    <mergeCell ref="AF16:AG16"/>
    <mergeCell ref="AJ15:AK15"/>
    <mergeCell ref="AL15:AM15"/>
    <mergeCell ref="BL15:BM15"/>
    <mergeCell ref="BN15:BO15"/>
    <mergeCell ref="BD16:BE16"/>
    <mergeCell ref="BF16:BG16"/>
    <mergeCell ref="BH16:BK16"/>
    <mergeCell ref="AL16:AM16"/>
    <mergeCell ref="BL18:BM18"/>
    <mergeCell ref="BN18:BO18"/>
    <mergeCell ref="BH17:BK17"/>
    <mergeCell ref="BZ17:CA17"/>
    <mergeCell ref="CB17:CC17"/>
    <mergeCell ref="CD17:CE17"/>
    <mergeCell ref="CF17:CG17"/>
    <mergeCell ref="CB18:CC18"/>
    <mergeCell ref="CD18:CE18"/>
    <mergeCell ref="BR17:BS17"/>
    <mergeCell ref="BT17:BU17"/>
    <mergeCell ref="BV17:BW17"/>
    <mergeCell ref="BX17:BY17"/>
    <mergeCell ref="CH17:CI17"/>
    <mergeCell ref="BT18:BU18"/>
    <mergeCell ref="BF17:BG17"/>
    <mergeCell ref="CB15:CC15"/>
    <mergeCell ref="CD15:CE15"/>
    <mergeCell ref="CF15:CG15"/>
    <mergeCell ref="CH15:CI15"/>
    <mergeCell ref="BR19:BS19"/>
    <mergeCell ref="BT19:BU19"/>
    <mergeCell ref="BV19:BW19"/>
    <mergeCell ref="BX19:BY19"/>
    <mergeCell ref="AP19:AQ19"/>
    <mergeCell ref="AR19:AS19"/>
    <mergeCell ref="AT19:AU19"/>
    <mergeCell ref="AV19:AW19"/>
    <mergeCell ref="W15:AC15"/>
    <mergeCell ref="AD15:AE15"/>
    <mergeCell ref="AF15:AG15"/>
    <mergeCell ref="AH15:AI15"/>
    <mergeCell ref="W16:AC16"/>
    <mergeCell ref="AD16:AE16"/>
    <mergeCell ref="AF17:AG17"/>
    <mergeCell ref="BF15:BG15"/>
    <mergeCell ref="BH15:BK15"/>
    <mergeCell ref="AH18:AI18"/>
    <mergeCell ref="AJ18:AK18"/>
    <mergeCell ref="AL18:AM18"/>
    <mergeCell ref="AP18:AQ18"/>
    <mergeCell ref="AR18:AS18"/>
    <mergeCell ref="AT18:AU18"/>
    <mergeCell ref="AV18:AW18"/>
    <mergeCell ref="AX18:AY18"/>
    <mergeCell ref="AZ18:BA18"/>
    <mergeCell ref="BB18:BC18"/>
    <mergeCell ref="BR16:BS16"/>
    <mergeCell ref="AZ16:BA16"/>
    <mergeCell ref="AJ19:AK19"/>
    <mergeCell ref="BF18:BG18"/>
    <mergeCell ref="BH18:BK18"/>
    <mergeCell ref="AL19:AM19"/>
    <mergeCell ref="BF20:BG20"/>
    <mergeCell ref="BH20:BK20"/>
    <mergeCell ref="BL20:BM20"/>
    <mergeCell ref="BP20:BQ20"/>
    <mergeCell ref="BR20:BS20"/>
    <mergeCell ref="CL16:CM16"/>
    <mergeCell ref="BB16:BC16"/>
    <mergeCell ref="CP20:CQ20"/>
    <mergeCell ref="BV18:BW18"/>
    <mergeCell ref="BX18:BY18"/>
    <mergeCell ref="BZ18:CA18"/>
    <mergeCell ref="AN18:AO18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BD19:BE19"/>
    <mergeCell ref="BF19:BG19"/>
    <mergeCell ref="BH19:BK19"/>
    <mergeCell ref="BL19:BM19"/>
    <mergeCell ref="CF19:CG19"/>
    <mergeCell ref="CH19:CI19"/>
    <mergeCell ref="CL19:CM19"/>
    <mergeCell ref="BN19:BO19"/>
    <mergeCell ref="CL21:CM21"/>
    <mergeCell ref="CJ22:CK22"/>
    <mergeCell ref="CL22:CM22"/>
    <mergeCell ref="BZ19:CA19"/>
    <mergeCell ref="CB19:CC19"/>
    <mergeCell ref="CD19:CE19"/>
    <mergeCell ref="BD21:BE21"/>
    <mergeCell ref="BF21:BG21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N20:BO20"/>
    <mergeCell ref="AX19:AY19"/>
    <mergeCell ref="AZ19:BA19"/>
    <mergeCell ref="BB19:BC19"/>
    <mergeCell ref="AT21:AU21"/>
    <mergeCell ref="AV21:AW21"/>
    <mergeCell ref="AX21:AY21"/>
    <mergeCell ref="AZ21:BA21"/>
    <mergeCell ref="BB21:BC21"/>
    <mergeCell ref="BT21:BU21"/>
    <mergeCell ref="CB21:CC21"/>
    <mergeCell ref="AN19:AO19"/>
    <mergeCell ref="BP22:BQ22"/>
    <mergeCell ref="BR22:BS22"/>
    <mergeCell ref="BP19:BQ19"/>
    <mergeCell ref="A23:B24"/>
    <mergeCell ref="C23:N24"/>
    <mergeCell ref="O23:R24"/>
    <mergeCell ref="S23:V24"/>
    <mergeCell ref="W23:AC23"/>
    <mergeCell ref="AF23:AG23"/>
    <mergeCell ref="AH23:AI23"/>
    <mergeCell ref="AJ23:AK23"/>
    <mergeCell ref="BN24:BO24"/>
    <mergeCell ref="BP24:BQ24"/>
    <mergeCell ref="BR24:BS24"/>
    <mergeCell ref="BV21:BW21"/>
    <mergeCell ref="BX21:BY21"/>
    <mergeCell ref="BZ21:CA21"/>
    <mergeCell ref="CJ19:CK19"/>
    <mergeCell ref="A21:N21"/>
    <mergeCell ref="O21:R21"/>
    <mergeCell ref="S21:V21"/>
    <mergeCell ref="W21:AC21"/>
    <mergeCell ref="A20:N20"/>
    <mergeCell ref="O20:R20"/>
    <mergeCell ref="S20:V20"/>
    <mergeCell ref="W20:AC20"/>
    <mergeCell ref="AD20:AE20"/>
    <mergeCell ref="AF20:AG20"/>
    <mergeCell ref="AH20:AI20"/>
    <mergeCell ref="AJ20:AK20"/>
    <mergeCell ref="AL20:AM20"/>
    <mergeCell ref="A19:N19"/>
    <mergeCell ref="O19:R19"/>
    <mergeCell ref="CB24:CC24"/>
    <mergeCell ref="A22:N22"/>
    <mergeCell ref="O22:R22"/>
    <mergeCell ref="S22:V22"/>
    <mergeCell ref="W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CR22:CU22"/>
    <mergeCell ref="CR21:CU21"/>
    <mergeCell ref="BD22:BE22"/>
    <mergeCell ref="BF22:BG22"/>
    <mergeCell ref="BH22:BK22"/>
    <mergeCell ref="BL22:BM22"/>
    <mergeCell ref="BN22:BO22"/>
    <mergeCell ref="BN21:BO21"/>
    <mergeCell ref="BP21:BQ21"/>
    <mergeCell ref="BR21:BS21"/>
    <mergeCell ref="CJ21:CK21"/>
    <mergeCell ref="CN21:CO21"/>
    <mergeCell ref="AD21:AE21"/>
    <mergeCell ref="AF21:AG21"/>
    <mergeCell ref="AH21:AI21"/>
    <mergeCell ref="AJ21:AK21"/>
    <mergeCell ref="CH21:CI21"/>
    <mergeCell ref="CR20:CU20"/>
    <mergeCell ref="BH21:BK21"/>
    <mergeCell ref="BL21:BM21"/>
    <mergeCell ref="AN21:AO21"/>
    <mergeCell ref="AP21:AQ21"/>
    <mergeCell ref="AR21:AS21"/>
    <mergeCell ref="BH25:BK25"/>
    <mergeCell ref="BL25:BM25"/>
    <mergeCell ref="AZ25:BA25"/>
    <mergeCell ref="AZ23:BA23"/>
    <mergeCell ref="BB22:BC22"/>
    <mergeCell ref="CN22:CO22"/>
    <mergeCell ref="CP22:CQ22"/>
    <mergeCell ref="CD22:CE22"/>
    <mergeCell ref="CF22:CG22"/>
    <mergeCell ref="CH22:CI22"/>
    <mergeCell ref="CR25:CU25"/>
    <mergeCell ref="BR23:BS23"/>
    <mergeCell ref="CP23:CQ23"/>
    <mergeCell ref="BZ24:CA24"/>
    <mergeCell ref="CR24:CU24"/>
    <mergeCell ref="CR23:CU23"/>
    <mergeCell ref="BH23:BK23"/>
    <mergeCell ref="BL23:BM23"/>
    <mergeCell ref="BN23:BO23"/>
    <mergeCell ref="BP23:BQ23"/>
    <mergeCell ref="BD23:BE23"/>
    <mergeCell ref="BF23:BG23"/>
    <mergeCell ref="BT24:BU24"/>
    <mergeCell ref="BV24:BW24"/>
    <mergeCell ref="BX24:BY24"/>
    <mergeCell ref="BB23:BC23"/>
    <mergeCell ref="AL21:AM21"/>
    <mergeCell ref="CL27:CM27"/>
    <mergeCell ref="CN27:CO27"/>
    <mergeCell ref="CP27:CQ27"/>
    <mergeCell ref="BT22:BU22"/>
    <mergeCell ref="BV22:BW22"/>
    <mergeCell ref="CH25:CI25"/>
    <mergeCell ref="BN25:BO25"/>
    <mergeCell ref="CL23:CM23"/>
    <mergeCell ref="CN23:CO23"/>
    <mergeCell ref="CD24:CE24"/>
    <mergeCell ref="CF24:CG24"/>
    <mergeCell ref="CH24:CI24"/>
    <mergeCell ref="CJ24:CK24"/>
    <mergeCell ref="CL24:CM24"/>
    <mergeCell ref="CN24:CO24"/>
    <mergeCell ref="CP21:CQ21"/>
    <mergeCell ref="BX22:BY22"/>
    <mergeCell ref="CF26:CG26"/>
    <mergeCell ref="CB27:CC27"/>
    <mergeCell ref="BZ22:CA22"/>
    <mergeCell ref="CB22:CC22"/>
    <mergeCell ref="CP25:CQ25"/>
    <mergeCell ref="CF25:CG25"/>
    <mergeCell ref="CP24:CQ24"/>
    <mergeCell ref="AL23:AM23"/>
    <mergeCell ref="AN23:AO23"/>
    <mergeCell ref="AT23:AU23"/>
    <mergeCell ref="CP26:CQ26"/>
    <mergeCell ref="CH26:CI26"/>
    <mergeCell ref="CH27:CI27"/>
    <mergeCell ref="CJ27:CK27"/>
    <mergeCell ref="CN26:CO26"/>
    <mergeCell ref="BP25:BQ25"/>
    <mergeCell ref="BR29:BS29"/>
    <mergeCell ref="BH26:BK26"/>
    <mergeCell ref="BR27:BS27"/>
    <mergeCell ref="CD27:CE27"/>
    <mergeCell ref="CF27:CG27"/>
    <mergeCell ref="AR23:AS23"/>
    <mergeCell ref="AX23:AY23"/>
    <mergeCell ref="AN24:AO24"/>
    <mergeCell ref="AP24:AQ24"/>
    <mergeCell ref="AR24:AS24"/>
    <mergeCell ref="AT24:AU24"/>
    <mergeCell ref="CL25:CM25"/>
    <mergeCell ref="CN25:CO25"/>
    <mergeCell ref="CB25:CC25"/>
    <mergeCell ref="CD25:CE25"/>
    <mergeCell ref="CJ25:CK25"/>
    <mergeCell ref="CJ23:CK23"/>
    <mergeCell ref="CJ26:CK26"/>
    <mergeCell ref="BD25:BE25"/>
    <mergeCell ref="BB25:BC25"/>
    <mergeCell ref="BP28:BQ28"/>
    <mergeCell ref="BR28:BS28"/>
    <mergeCell ref="BT28:BU28"/>
    <mergeCell ref="CN29:CO29"/>
    <mergeCell ref="BF26:BG26"/>
    <mergeCell ref="AT26:AU26"/>
    <mergeCell ref="AN26:AO26"/>
    <mergeCell ref="AT29:AU29"/>
    <mergeCell ref="AV29:AW29"/>
    <mergeCell ref="BN26:BO26"/>
    <mergeCell ref="A68:I68"/>
    <mergeCell ref="AF68:AS68"/>
    <mergeCell ref="CR26:CU26"/>
    <mergeCell ref="CR29:CU29"/>
    <mergeCell ref="CR31:CU31"/>
    <mergeCell ref="CP31:CQ31"/>
    <mergeCell ref="CJ29:CK29"/>
    <mergeCell ref="CL29:CM29"/>
    <mergeCell ref="CL26:CM26"/>
    <mergeCell ref="CH30:CI30"/>
    <mergeCell ref="CJ31:CK31"/>
    <mergeCell ref="CH31:CI31"/>
    <mergeCell ref="BT26:BU26"/>
    <mergeCell ref="BV26:BW26"/>
    <mergeCell ref="BT27:BU27"/>
    <mergeCell ref="BX27:BY27"/>
    <mergeCell ref="CD28:CE28"/>
    <mergeCell ref="CF28:CG28"/>
    <mergeCell ref="BZ27:CA27"/>
    <mergeCell ref="CR27:CU27"/>
    <mergeCell ref="CB26:CC26"/>
    <mergeCell ref="CL36:CM36"/>
    <mergeCell ref="AZ66:BA66"/>
    <mergeCell ref="BB43:BC43"/>
    <mergeCell ref="BD43:BE43"/>
    <mergeCell ref="AN55:AO55"/>
    <mergeCell ref="AN36:AO36"/>
    <mergeCell ref="CP29:CQ29"/>
    <mergeCell ref="BL26:BM26"/>
    <mergeCell ref="CR35:CU35"/>
    <mergeCell ref="AP36:AQ36"/>
    <mergeCell ref="AR36:AS36"/>
    <mergeCell ref="CF36:CG36"/>
    <mergeCell ref="AT38:AU38"/>
    <mergeCell ref="BN35:BO35"/>
    <mergeCell ref="BF36:BG36"/>
    <mergeCell ref="AZ35:BA35"/>
    <mergeCell ref="CH35:CI35"/>
    <mergeCell ref="CH36:CI36"/>
    <mergeCell ref="BX35:BY35"/>
    <mergeCell ref="BZ35:CA35"/>
    <mergeCell ref="CB35:CC35"/>
    <mergeCell ref="BX38:BY38"/>
    <mergeCell ref="BZ38:CA38"/>
    <mergeCell ref="AT35:AU35"/>
    <mergeCell ref="BF37:BG37"/>
    <mergeCell ref="BF35:BG35"/>
    <mergeCell ref="BF38:BG38"/>
    <mergeCell ref="AR37:AS37"/>
    <mergeCell ref="AR38:AS38"/>
    <mergeCell ref="BP37:BQ37"/>
    <mergeCell ref="AX36:AY36"/>
    <mergeCell ref="CR38:CU38"/>
    <mergeCell ref="AX35:AY35"/>
    <mergeCell ref="B75:D75"/>
    <mergeCell ref="F75:Q75"/>
    <mergeCell ref="U75:V75"/>
    <mergeCell ref="J74:T74"/>
    <mergeCell ref="V74:AD74"/>
    <mergeCell ref="AF74:AS74"/>
    <mergeCell ref="V71:AD71"/>
    <mergeCell ref="AF71:AS71"/>
    <mergeCell ref="J72:T72"/>
    <mergeCell ref="V72:AD72"/>
    <mergeCell ref="AF72:AS72"/>
    <mergeCell ref="A73:I73"/>
    <mergeCell ref="J73:T73"/>
    <mergeCell ref="V73:AD73"/>
    <mergeCell ref="AF73:AS73"/>
    <mergeCell ref="J69:T69"/>
    <mergeCell ref="CF71:CT71"/>
    <mergeCell ref="V69:AD69"/>
    <mergeCell ref="AF69:AS69"/>
    <mergeCell ref="CF70:CT70"/>
    <mergeCell ref="A71:I71"/>
    <mergeCell ref="J71:T71"/>
    <mergeCell ref="AZ75:BB75"/>
    <mergeCell ref="BD75:BO75"/>
    <mergeCell ref="BS75:BT75"/>
    <mergeCell ref="BG70:BS70"/>
    <mergeCell ref="BU70:CD70"/>
    <mergeCell ref="BG71:BS71"/>
    <mergeCell ref="BU71:CD71"/>
    <mergeCell ref="J68:T68"/>
    <mergeCell ref="V68:AD68"/>
    <mergeCell ref="CP66:CQ66"/>
    <mergeCell ref="CR66:CU66"/>
    <mergeCell ref="CN66:CO66"/>
    <mergeCell ref="CR37:CU37"/>
    <mergeCell ref="CD32:CE32"/>
    <mergeCell ref="CJ36:CK36"/>
    <mergeCell ref="CL57:CM57"/>
    <mergeCell ref="CB36:CC36"/>
    <mergeCell ref="CD36:CE36"/>
    <mergeCell ref="CP36:CQ36"/>
    <mergeCell ref="CR65:CU65"/>
    <mergeCell ref="CN65:CO65"/>
    <mergeCell ref="CP65:CQ65"/>
    <mergeCell ref="CL37:CM37"/>
    <mergeCell ref="CN36:CO36"/>
    <mergeCell ref="CH38:CI38"/>
    <mergeCell ref="CH37:CI37"/>
    <mergeCell ref="CR53:CU53"/>
    <mergeCell ref="CB53:CC53"/>
    <mergeCell ref="CD53:CE53"/>
    <mergeCell ref="CF53:CG53"/>
    <mergeCell ref="CL53:CM53"/>
    <mergeCell ref="CP57:CQ57"/>
    <mergeCell ref="CP37:CQ37"/>
    <mergeCell ref="CB38:CC38"/>
    <mergeCell ref="CP53:CQ53"/>
    <mergeCell ref="CJ66:CK66"/>
    <mergeCell ref="CL66:CM66"/>
    <mergeCell ref="CL54:CM54"/>
    <mergeCell ref="CP54:CQ54"/>
    <mergeCell ref="CR57:CU57"/>
    <mergeCell ref="CR56:CU56"/>
    <mergeCell ref="BP54:BQ54"/>
    <mergeCell ref="CH65:CI65"/>
    <mergeCell ref="CB58:CC58"/>
    <mergeCell ref="BZ58:CA58"/>
    <mergeCell ref="BX58:BY58"/>
    <mergeCell ref="BV58:BW58"/>
    <mergeCell ref="CH53:CI53"/>
    <mergeCell ref="CH57:CI57"/>
    <mergeCell ref="BZ55:CA55"/>
    <mergeCell ref="CB56:CC56"/>
    <mergeCell ref="CL55:CM55"/>
    <mergeCell ref="CN55:CO55"/>
    <mergeCell ref="BZ53:CA53"/>
    <mergeCell ref="CF57:CG57"/>
    <mergeCell ref="BV54:BW54"/>
    <mergeCell ref="CH58:CI58"/>
    <mergeCell ref="BV53:BW53"/>
    <mergeCell ref="BX53:BY53"/>
    <mergeCell ref="CJ53:CK53"/>
    <mergeCell ref="CR59:CU59"/>
    <mergeCell ref="CD63:CE63"/>
    <mergeCell ref="CF63:CG63"/>
    <mergeCell ref="CH63:CI63"/>
    <mergeCell ref="CJ63:CK63"/>
    <mergeCell ref="CL63:CM63"/>
    <mergeCell ref="CN63:CO63"/>
    <mergeCell ref="CP63:CQ63"/>
    <mergeCell ref="CR63:CU63"/>
    <mergeCell ref="BV59:BW59"/>
    <mergeCell ref="BX59:BY59"/>
    <mergeCell ref="BX65:BY65"/>
    <mergeCell ref="AL28:AM28"/>
    <mergeCell ref="AN28:AO28"/>
    <mergeCell ref="BD30:BE30"/>
    <mergeCell ref="CB65:CC65"/>
    <mergeCell ref="CP55:CQ55"/>
    <mergeCell ref="CN56:CO56"/>
    <mergeCell ref="CB55:CC55"/>
    <mergeCell ref="CH54:CI54"/>
    <mergeCell ref="CN54:CO54"/>
    <mergeCell ref="BP53:BQ53"/>
    <mergeCell ref="CN53:CO53"/>
    <mergeCell ref="CD54:CE54"/>
    <mergeCell ref="CF54:CG54"/>
    <mergeCell ref="CL56:CM56"/>
    <mergeCell ref="CJ54:CK54"/>
    <mergeCell ref="CN37:CO37"/>
    <mergeCell ref="CF35:CG35"/>
    <mergeCell ref="CD37:CE37"/>
    <mergeCell ref="CF37:CG37"/>
    <mergeCell ref="CL38:CM38"/>
    <mergeCell ref="CJ38:CK38"/>
    <mergeCell ref="CD35:CE35"/>
    <mergeCell ref="CL35:CM35"/>
    <mergeCell ref="BN53:BO53"/>
    <mergeCell ref="BL53:BM53"/>
    <mergeCell ref="BL33:BM33"/>
    <mergeCell ref="AV33:AW33"/>
    <mergeCell ref="CH29:CI29"/>
    <mergeCell ref="BH56:BK56"/>
    <mergeCell ref="AV56:AW56"/>
    <mergeCell ref="AZ44:BA44"/>
    <mergeCell ref="BF55:BG55"/>
    <mergeCell ref="CD26:CE26"/>
    <mergeCell ref="AH54:AI54"/>
    <mergeCell ref="AJ54:AK54"/>
    <mergeCell ref="AH57:AI57"/>
    <mergeCell ref="AF57:AG57"/>
    <mergeCell ref="AX33:AY33"/>
    <mergeCell ref="AZ33:BA33"/>
    <mergeCell ref="BL34:BM34"/>
    <mergeCell ref="BD59:BE59"/>
    <mergeCell ref="BB58:BC58"/>
    <mergeCell ref="BD58:BE58"/>
    <mergeCell ref="BH58:BK58"/>
    <mergeCell ref="BB53:BC53"/>
    <mergeCell ref="AX58:AY58"/>
    <mergeCell ref="BX54:BY54"/>
    <mergeCell ref="AV55:AW55"/>
    <mergeCell ref="AV38:AW38"/>
    <mergeCell ref="BP57:BQ57"/>
    <mergeCell ref="BT37:BU37"/>
    <mergeCell ref="BT56:BU56"/>
    <mergeCell ref="BR53:BS53"/>
    <mergeCell ref="BT54:BU54"/>
    <mergeCell ref="BB46:BC46"/>
    <mergeCell ref="AZ45:BA45"/>
    <mergeCell ref="BF44:BG44"/>
    <mergeCell ref="BH44:BK44"/>
    <mergeCell ref="BL44:BM44"/>
    <mergeCell ref="BN44:BO44"/>
    <mergeCell ref="BT44:BU44"/>
    <mergeCell ref="BR45:BS45"/>
    <mergeCell ref="BP55:BQ55"/>
    <mergeCell ref="BH54:BK54"/>
    <mergeCell ref="C65:N66"/>
    <mergeCell ref="O65:R66"/>
    <mergeCell ref="C55:N56"/>
    <mergeCell ref="C53:N54"/>
    <mergeCell ref="O53:R54"/>
    <mergeCell ref="S53:V54"/>
    <mergeCell ref="C57:N58"/>
    <mergeCell ref="AD65:AE65"/>
    <mergeCell ref="AF65:AG65"/>
    <mergeCell ref="AJ65:AK65"/>
    <mergeCell ref="AZ59:BA59"/>
    <mergeCell ref="BB59:BC59"/>
    <mergeCell ref="AN45:AO45"/>
    <mergeCell ref="AP45:AQ45"/>
    <mergeCell ref="AR45:AS45"/>
    <mergeCell ref="AT45:AU45"/>
    <mergeCell ref="AV45:AW45"/>
    <mergeCell ref="AR53:AS53"/>
    <mergeCell ref="AT53:AU53"/>
    <mergeCell ref="AR56:AS56"/>
    <mergeCell ref="AR55:AS55"/>
    <mergeCell ref="AP56:AQ56"/>
    <mergeCell ref="S55:V56"/>
    <mergeCell ref="AL54:AM54"/>
    <mergeCell ref="W56:AC56"/>
    <mergeCell ref="W54:AC54"/>
    <mergeCell ref="AL56:AM56"/>
    <mergeCell ref="AD55:AE55"/>
    <mergeCell ref="AX57:AY57"/>
    <mergeCell ref="AJ45:AK45"/>
    <mergeCell ref="AJ46:AK46"/>
    <mergeCell ref="AD57:AE57"/>
    <mergeCell ref="BL55:BM55"/>
    <mergeCell ref="AN53:AO53"/>
    <mergeCell ref="AP53:AQ53"/>
    <mergeCell ref="AX45:AY45"/>
    <mergeCell ref="BD37:BE37"/>
    <mergeCell ref="BH38:BK38"/>
    <mergeCell ref="BH37:BK37"/>
    <mergeCell ref="AP55:AQ55"/>
    <mergeCell ref="AP37:AQ37"/>
    <mergeCell ref="BB38:BC38"/>
    <mergeCell ref="AZ36:BA36"/>
    <mergeCell ref="BB36:BC36"/>
    <mergeCell ref="BF43:BG43"/>
    <mergeCell ref="BH43:BK43"/>
    <mergeCell ref="BL43:BM43"/>
    <mergeCell ref="BN43:BO43"/>
    <mergeCell ref="BB44:BC44"/>
    <mergeCell ref="BD44:BE44"/>
    <mergeCell ref="AV36:AW36"/>
    <mergeCell ref="AV53:AW53"/>
    <mergeCell ref="AR46:AS46"/>
    <mergeCell ref="AT46:AU46"/>
    <mergeCell ref="BB41:BC41"/>
    <mergeCell ref="BD41:BE41"/>
    <mergeCell ref="BF41:BG41"/>
    <mergeCell ref="BH41:BK41"/>
    <mergeCell ref="BL41:BM41"/>
    <mergeCell ref="BN41:BO41"/>
    <mergeCell ref="BL42:BM42"/>
    <mergeCell ref="BN42:BO42"/>
    <mergeCell ref="BN50:BO50"/>
    <mergeCell ref="BB51:BC51"/>
    <mergeCell ref="AJ33:AK33"/>
    <mergeCell ref="AL33:AM33"/>
    <mergeCell ref="AF55:AG55"/>
    <mergeCell ref="AP54:AQ54"/>
    <mergeCell ref="AT55:AU55"/>
    <mergeCell ref="CH56:CI56"/>
    <mergeCell ref="CH55:CI55"/>
    <mergeCell ref="BL56:BM56"/>
    <mergeCell ref="BP30:BQ30"/>
    <mergeCell ref="BR30:BS30"/>
    <mergeCell ref="BT30:BU30"/>
    <mergeCell ref="BV30:BW30"/>
    <mergeCell ref="AP26:AQ26"/>
    <mergeCell ref="CB33:CC33"/>
    <mergeCell ref="AT30:AU30"/>
    <mergeCell ref="BP33:BQ33"/>
    <mergeCell ref="BR33:BS33"/>
    <mergeCell ref="BT33:BU33"/>
    <mergeCell ref="CD55:CE55"/>
    <mergeCell ref="CF55:CG55"/>
    <mergeCell ref="AV35:AW35"/>
    <mergeCell ref="BD36:BE36"/>
    <mergeCell ref="BV36:BW36"/>
    <mergeCell ref="BR38:BS38"/>
    <mergeCell ref="BV37:BW37"/>
    <mergeCell ref="BD46:BE46"/>
    <mergeCell ref="BF46:BG46"/>
    <mergeCell ref="BH46:BK46"/>
    <mergeCell ref="BL46:BM46"/>
    <mergeCell ref="BN45:BO45"/>
    <mergeCell ref="BX34:BY34"/>
    <mergeCell ref="BR31:BS31"/>
    <mergeCell ref="BP34:BQ34"/>
    <mergeCell ref="BH36:BK36"/>
    <mergeCell ref="BL32:BM32"/>
    <mergeCell ref="AV31:AW31"/>
    <mergeCell ref="BD29:BE29"/>
    <mergeCell ref="A57:B58"/>
    <mergeCell ref="AT37:AU37"/>
    <mergeCell ref="A55:B56"/>
    <mergeCell ref="BD38:BE38"/>
    <mergeCell ref="BH57:BK57"/>
    <mergeCell ref="BD55:BE55"/>
    <mergeCell ref="BN57:BO57"/>
    <mergeCell ref="BL57:BM57"/>
    <mergeCell ref="S35:V36"/>
    <mergeCell ref="BP35:BQ35"/>
    <mergeCell ref="AV54:AW54"/>
    <mergeCell ref="AZ56:BA56"/>
    <mergeCell ref="AH56:AI56"/>
    <mergeCell ref="BB35:BC35"/>
    <mergeCell ref="BD35:BE35"/>
    <mergeCell ref="AX38:AY38"/>
    <mergeCell ref="AX34:AY34"/>
    <mergeCell ref="BN34:BO34"/>
    <mergeCell ref="BB34:BC34"/>
    <mergeCell ref="AZ34:BA34"/>
    <mergeCell ref="BF34:BG34"/>
    <mergeCell ref="AD34:AE34"/>
    <mergeCell ref="AF34:AG34"/>
    <mergeCell ref="AH34:AI34"/>
    <mergeCell ref="AJ34:AK34"/>
    <mergeCell ref="W36:AC36"/>
    <mergeCell ref="AD36:AE36"/>
    <mergeCell ref="AT56:AU56"/>
    <mergeCell ref="AZ55:BA55"/>
    <mergeCell ref="BB57:BC57"/>
    <mergeCell ref="AL66:AM66"/>
    <mergeCell ref="BV66:BW66"/>
    <mergeCell ref="CD57:CE57"/>
    <mergeCell ref="BZ44:CA44"/>
    <mergeCell ref="BL59:BM59"/>
    <mergeCell ref="AZ60:BA60"/>
    <mergeCell ref="CB64:CC64"/>
    <mergeCell ref="AH65:AI65"/>
    <mergeCell ref="C35:N36"/>
    <mergeCell ref="O35:R36"/>
    <mergeCell ref="AH35:AI35"/>
    <mergeCell ref="W38:AC38"/>
    <mergeCell ref="AD38:AE38"/>
    <mergeCell ref="BZ54:CA54"/>
    <mergeCell ref="AJ37:AK37"/>
    <mergeCell ref="AL37:AM37"/>
    <mergeCell ref="BZ56:CA56"/>
    <mergeCell ref="BD65:BE65"/>
    <mergeCell ref="BF65:BG65"/>
    <mergeCell ref="BH65:BK65"/>
    <mergeCell ref="AX55:AY55"/>
    <mergeCell ref="BD56:BE56"/>
    <mergeCell ref="BF56:BG56"/>
    <mergeCell ref="BN55:BO55"/>
    <mergeCell ref="BB55:BC55"/>
    <mergeCell ref="BB56:BC56"/>
    <mergeCell ref="BT59:BU59"/>
    <mergeCell ref="BR58:BS58"/>
    <mergeCell ref="BF58:BG58"/>
    <mergeCell ref="A45:B46"/>
    <mergeCell ref="C37:N38"/>
    <mergeCell ref="O37:R38"/>
    <mergeCell ref="S37:V38"/>
    <mergeCell ref="A35:B36"/>
    <mergeCell ref="A53:B54"/>
    <mergeCell ref="A37:B38"/>
    <mergeCell ref="O55:R56"/>
    <mergeCell ref="W37:AC37"/>
    <mergeCell ref="AD54:AE54"/>
    <mergeCell ref="AD56:AE56"/>
    <mergeCell ref="AF46:AG46"/>
    <mergeCell ref="AH46:AI46"/>
    <mergeCell ref="C45:N46"/>
    <mergeCell ref="O45:R46"/>
    <mergeCell ref="S45:V46"/>
    <mergeCell ref="W45:AC45"/>
    <mergeCell ref="AD45:AE45"/>
    <mergeCell ref="AH45:AI45"/>
    <mergeCell ref="AH37:AI37"/>
    <mergeCell ref="A39:B40"/>
    <mergeCell ref="C39:N40"/>
    <mergeCell ref="O39:R40"/>
    <mergeCell ref="S39:V40"/>
    <mergeCell ref="W39:AC39"/>
    <mergeCell ref="AD39:AE39"/>
    <mergeCell ref="AF39:AG39"/>
    <mergeCell ref="AH39:AI39"/>
    <mergeCell ref="A51:B52"/>
    <mergeCell ref="C51:N52"/>
    <mergeCell ref="O51:R52"/>
    <mergeCell ref="S51:V52"/>
    <mergeCell ref="BD57:BE57"/>
    <mergeCell ref="BN46:BO46"/>
    <mergeCell ref="BT45:BU45"/>
    <mergeCell ref="BH53:BK53"/>
    <mergeCell ref="BL54:BM54"/>
    <mergeCell ref="AX54:AY54"/>
    <mergeCell ref="AZ54:BA54"/>
    <mergeCell ref="BF57:BG57"/>
    <mergeCell ref="BB54:BC54"/>
    <mergeCell ref="BD54:BE54"/>
    <mergeCell ref="AV58:AW58"/>
    <mergeCell ref="BT58:BU58"/>
    <mergeCell ref="AN56:AO56"/>
    <mergeCell ref="BX64:BY64"/>
    <mergeCell ref="BZ64:CA64"/>
    <mergeCell ref="BB47:BC47"/>
    <mergeCell ref="BD47:BE47"/>
    <mergeCell ref="BF47:BG47"/>
    <mergeCell ref="BH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BX48:BY48"/>
    <mergeCell ref="BZ48:CA48"/>
    <mergeCell ref="BP49:BQ49"/>
    <mergeCell ref="BR49:BS49"/>
    <mergeCell ref="BT49:BU49"/>
    <mergeCell ref="A65:B66"/>
    <mergeCell ref="CN58:CO58"/>
    <mergeCell ref="CL58:CM58"/>
    <mergeCell ref="CJ58:CK58"/>
    <mergeCell ref="BB37:BC37"/>
    <mergeCell ref="AZ38:BA38"/>
    <mergeCell ref="BN54:BO54"/>
    <mergeCell ref="BN56:BO56"/>
    <mergeCell ref="BP56:BQ56"/>
    <mergeCell ref="BR56:BS56"/>
    <mergeCell ref="AZ53:BA53"/>
    <mergeCell ref="AH38:AI38"/>
    <mergeCell ref="AJ38:AK38"/>
    <mergeCell ref="AL38:AM38"/>
    <mergeCell ref="AN38:AO38"/>
    <mergeCell ref="AP38:AQ38"/>
    <mergeCell ref="BL37:BM37"/>
    <mergeCell ref="BD53:BE53"/>
    <mergeCell ref="BF53:BG53"/>
    <mergeCell ref="BP58:BQ58"/>
    <mergeCell ref="CJ57:CK57"/>
    <mergeCell ref="S65:V66"/>
    <mergeCell ref="W65:AC65"/>
    <mergeCell ref="AP57:AQ57"/>
    <mergeCell ref="AT57:AU57"/>
    <mergeCell ref="AR57:AS57"/>
    <mergeCell ref="CD66:CE66"/>
    <mergeCell ref="BF54:BG54"/>
    <mergeCell ref="CH66:CI66"/>
    <mergeCell ref="AN65:AO65"/>
    <mergeCell ref="AP65:AQ65"/>
    <mergeCell ref="AR65:AS65"/>
    <mergeCell ref="CD56:CE56"/>
    <mergeCell ref="BN59:BO59"/>
    <mergeCell ref="BP59:BQ59"/>
    <mergeCell ref="BR59:BS59"/>
    <mergeCell ref="CB60:CC60"/>
    <mergeCell ref="BT55:BU55"/>
    <mergeCell ref="BT65:BU65"/>
    <mergeCell ref="BV65:BW65"/>
    <mergeCell ref="AN66:AO66"/>
    <mergeCell ref="AP66:AQ66"/>
    <mergeCell ref="AR66:AS66"/>
    <mergeCell ref="AT66:AU66"/>
    <mergeCell ref="AV66:AW66"/>
    <mergeCell ref="AX66:AY66"/>
    <mergeCell ref="AV65:AW65"/>
    <mergeCell ref="AX65:AY65"/>
    <mergeCell ref="AT65:AU65"/>
    <mergeCell ref="BB66:BC66"/>
    <mergeCell ref="BD66:BE66"/>
    <mergeCell ref="BF66:BG66"/>
    <mergeCell ref="BB63:BC63"/>
    <mergeCell ref="CD60:CE60"/>
    <mergeCell ref="CB66:CC66"/>
    <mergeCell ref="BP65:BQ65"/>
    <mergeCell ref="AZ65:BA65"/>
    <mergeCell ref="BB65:BC65"/>
    <mergeCell ref="BX63:BY63"/>
    <mergeCell ref="BZ63:CA63"/>
    <mergeCell ref="BV63:BW63"/>
    <mergeCell ref="BX61:BY61"/>
    <mergeCell ref="BZ61:CA61"/>
    <mergeCell ref="BL61:BM61"/>
    <mergeCell ref="W66:AC66"/>
    <mergeCell ref="AD66:AE66"/>
    <mergeCell ref="AF66:AG66"/>
    <mergeCell ref="BN66:BO66"/>
    <mergeCell ref="BP66:BQ66"/>
    <mergeCell ref="BR66:BS66"/>
    <mergeCell ref="BT66:BU66"/>
    <mergeCell ref="AR58:AS58"/>
    <mergeCell ref="AP58:AQ58"/>
    <mergeCell ref="AN58:AO58"/>
    <mergeCell ref="AH58:AI58"/>
    <mergeCell ref="AZ58:BA58"/>
    <mergeCell ref="AD58:AE58"/>
    <mergeCell ref="AF58:AG58"/>
    <mergeCell ref="AD53:AE53"/>
    <mergeCell ref="AF53:AG53"/>
    <mergeCell ref="AH53:AI53"/>
    <mergeCell ref="AJ53:AK53"/>
    <mergeCell ref="AL53:AM53"/>
    <mergeCell ref="AL65:AM65"/>
    <mergeCell ref="BN58:BO58"/>
    <mergeCell ref="BL58:BM58"/>
    <mergeCell ref="AH66:AI66"/>
    <mergeCell ref="AJ66:AK66"/>
    <mergeCell ref="BH66:BK66"/>
    <mergeCell ref="BL66:BM66"/>
    <mergeCell ref="BT63:BU63"/>
    <mergeCell ref="BL64:BM64"/>
    <mergeCell ref="AJ55:AK55"/>
    <mergeCell ref="BR55:BS55"/>
    <mergeCell ref="BF63:BG63"/>
    <mergeCell ref="AZ57:BA57"/>
    <mergeCell ref="CL45:CM45"/>
    <mergeCell ref="CN45:CO45"/>
    <mergeCell ref="CF46:CG46"/>
    <mergeCell ref="BT46:BU46"/>
    <mergeCell ref="BV46:BW46"/>
    <mergeCell ref="BZ46:CA46"/>
    <mergeCell ref="CF66:CG66"/>
    <mergeCell ref="CB54:CC54"/>
    <mergeCell ref="BV55:BW55"/>
    <mergeCell ref="BX55:BY55"/>
    <mergeCell ref="BL65:BM65"/>
    <mergeCell ref="BN65:BO65"/>
    <mergeCell ref="CD65:CE65"/>
    <mergeCell ref="CF65:CG65"/>
    <mergeCell ref="BV56:BW56"/>
    <mergeCell ref="BX56:BY56"/>
    <mergeCell ref="BH55:BK55"/>
    <mergeCell ref="BR54:BS54"/>
    <mergeCell ref="BH60:BK60"/>
    <mergeCell ref="BZ65:CA65"/>
    <mergeCell ref="BR65:BS65"/>
    <mergeCell ref="BX66:BY66"/>
    <mergeCell ref="BZ66:CA66"/>
    <mergeCell ref="CB59:CC59"/>
    <mergeCell ref="BT53:BU53"/>
    <mergeCell ref="CJ65:CK65"/>
    <mergeCell ref="CL65:CM65"/>
    <mergeCell ref="CD59:CE59"/>
    <mergeCell ref="CF59:CG59"/>
    <mergeCell ref="CH59:CI59"/>
    <mergeCell ref="CF60:CG60"/>
    <mergeCell ref="CH60:CI60"/>
    <mergeCell ref="CP45:CQ45"/>
    <mergeCell ref="CR45:CU45"/>
    <mergeCell ref="CN35:CO35"/>
    <mergeCell ref="CJ35:CK35"/>
    <mergeCell ref="CR36:CU36"/>
    <mergeCell ref="BZ36:CA36"/>
    <mergeCell ref="BR35:BS35"/>
    <mergeCell ref="BP46:BQ46"/>
    <mergeCell ref="BR46:BS46"/>
    <mergeCell ref="AP46:AQ46"/>
    <mergeCell ref="BR37:BS37"/>
    <mergeCell ref="BN38:BO38"/>
    <mergeCell ref="CB45:CC45"/>
    <mergeCell ref="CD45:CE45"/>
    <mergeCell ref="CF45:CG45"/>
    <mergeCell ref="BT35:BU35"/>
    <mergeCell ref="BD45:BE45"/>
    <mergeCell ref="BF45:BG45"/>
    <mergeCell ref="BH45:BK45"/>
    <mergeCell ref="BB45:BC45"/>
    <mergeCell ref="CH46:CI46"/>
    <mergeCell ref="CJ46:CK46"/>
    <mergeCell ref="BL38:BM38"/>
    <mergeCell ref="BV35:BW35"/>
    <mergeCell ref="BT38:BU38"/>
    <mergeCell ref="BV38:BW38"/>
    <mergeCell ref="BL35:BM35"/>
    <mergeCell ref="BP38:BQ38"/>
    <mergeCell ref="CF38:CG38"/>
    <mergeCell ref="CD38:CE38"/>
    <mergeCell ref="CB46:CC46"/>
    <mergeCell ref="CD46:CE46"/>
    <mergeCell ref="CL31:CM31"/>
    <mergeCell ref="CL43:CM43"/>
    <mergeCell ref="BZ34:CA34"/>
    <mergeCell ref="CF33:CG33"/>
    <mergeCell ref="CH32:CI32"/>
    <mergeCell ref="BV33:BW33"/>
    <mergeCell ref="BX33:BY33"/>
    <mergeCell ref="BZ33:CA33"/>
    <mergeCell ref="CD33:CE33"/>
    <mergeCell ref="CB30:CC30"/>
    <mergeCell ref="BX30:BY30"/>
    <mergeCell ref="BZ29:CA29"/>
    <mergeCell ref="CN31:CO31"/>
    <mergeCell ref="BV31:BW31"/>
    <mergeCell ref="BZ37:CA37"/>
    <mergeCell ref="CD31:CE31"/>
    <mergeCell ref="CH33:CI33"/>
    <mergeCell ref="BV34:BW34"/>
    <mergeCell ref="CB29:CC29"/>
    <mergeCell ref="BZ30:CA30"/>
    <mergeCell ref="BX31:BY31"/>
    <mergeCell ref="BZ31:CA31"/>
    <mergeCell ref="BX37:BY37"/>
    <mergeCell ref="BX36:BY36"/>
    <mergeCell ref="CJ37:CK37"/>
    <mergeCell ref="CJ32:CK32"/>
    <mergeCell ref="CD34:CE34"/>
    <mergeCell ref="CF34:CG34"/>
    <mergeCell ref="CB34:CC34"/>
    <mergeCell ref="BV32:BW32"/>
    <mergeCell ref="CN38:CO38"/>
    <mergeCell ref="CB37:CC37"/>
    <mergeCell ref="CP32:CQ32"/>
    <mergeCell ref="CR32:CU32"/>
    <mergeCell ref="CP38:CQ38"/>
    <mergeCell ref="CP35:CQ35"/>
    <mergeCell ref="AD46:AE46"/>
    <mergeCell ref="AZ46:BA46"/>
    <mergeCell ref="AL46:AM46"/>
    <mergeCell ref="AN46:AO46"/>
    <mergeCell ref="AV46:AW46"/>
    <mergeCell ref="AX46:AY46"/>
    <mergeCell ref="CD43:CE43"/>
    <mergeCell ref="CF43:CG43"/>
    <mergeCell ref="CH43:CI43"/>
    <mergeCell ref="CJ43:CK43"/>
    <mergeCell ref="CH45:CI45"/>
    <mergeCell ref="CJ45:CK45"/>
    <mergeCell ref="BX46:BY46"/>
    <mergeCell ref="BT36:BU36"/>
    <mergeCell ref="BP36:BQ36"/>
    <mergeCell ref="BR36:BS36"/>
    <mergeCell ref="BV45:BW45"/>
    <mergeCell ref="BX45:BY45"/>
    <mergeCell ref="BZ45:CA45"/>
    <mergeCell ref="BN36:BO36"/>
    <mergeCell ref="AN44:AO44"/>
    <mergeCell ref="AP44:AQ44"/>
    <mergeCell ref="AR44:AS44"/>
    <mergeCell ref="AT44:AU44"/>
    <mergeCell ref="AV44:AW44"/>
    <mergeCell ref="AX44:AY44"/>
    <mergeCell ref="BN37:BO37"/>
    <mergeCell ref="BL45:BM45"/>
    <mergeCell ref="BF24:BG24"/>
    <mergeCell ref="AP29:AQ29"/>
    <mergeCell ref="AR29:AS29"/>
    <mergeCell ref="AP30:AQ30"/>
    <mergeCell ref="AR30:AS30"/>
    <mergeCell ref="AZ24:BA24"/>
    <mergeCell ref="AF25:AG25"/>
    <mergeCell ref="BB33:BC33"/>
    <mergeCell ref="BP31:BQ31"/>
    <mergeCell ref="AT33:AU33"/>
    <mergeCell ref="AZ28:BA28"/>
    <mergeCell ref="BB28:BC28"/>
    <mergeCell ref="BD28:BE28"/>
    <mergeCell ref="BF28:BG28"/>
    <mergeCell ref="BH28:BK28"/>
    <mergeCell ref="BL28:BM28"/>
    <mergeCell ref="BN28:BO28"/>
    <mergeCell ref="AP31:AQ31"/>
    <mergeCell ref="BB32:BC32"/>
    <mergeCell ref="BN30:BO30"/>
    <mergeCell ref="AF26:AG26"/>
    <mergeCell ref="AH26:AI26"/>
    <mergeCell ref="AL26:AM26"/>
    <mergeCell ref="AX29:AY29"/>
    <mergeCell ref="BH30:BK30"/>
    <mergeCell ref="AF30:AG30"/>
    <mergeCell ref="AH30:AI30"/>
    <mergeCell ref="AL30:AM30"/>
    <mergeCell ref="AX30:AY30"/>
    <mergeCell ref="AV26:AW26"/>
    <mergeCell ref="AX26:AY26"/>
    <mergeCell ref="AZ26:BA26"/>
    <mergeCell ref="A33:B34"/>
    <mergeCell ref="C33:N34"/>
    <mergeCell ref="O33:R34"/>
    <mergeCell ref="W34:AC34"/>
    <mergeCell ref="C29:N30"/>
    <mergeCell ref="A31:B32"/>
    <mergeCell ref="C31:N32"/>
    <mergeCell ref="O31:R32"/>
    <mergeCell ref="AH24:AI24"/>
    <mergeCell ref="AJ24:AK24"/>
    <mergeCell ref="AL24:AM24"/>
    <mergeCell ref="AN32:AO32"/>
    <mergeCell ref="AZ29:BA29"/>
    <mergeCell ref="AD25:AE25"/>
    <mergeCell ref="AT32:AU32"/>
    <mergeCell ref="AL32:AM32"/>
    <mergeCell ref="AP28:AQ28"/>
    <mergeCell ref="AR28:AS28"/>
    <mergeCell ref="AT28:AU28"/>
    <mergeCell ref="AV28:AW28"/>
    <mergeCell ref="AX28:AY28"/>
    <mergeCell ref="A25:B26"/>
    <mergeCell ref="AJ26:AK26"/>
    <mergeCell ref="W30:AC30"/>
    <mergeCell ref="W32:AC32"/>
    <mergeCell ref="AJ31:AK31"/>
    <mergeCell ref="AL29:AM29"/>
    <mergeCell ref="AF32:AG32"/>
    <mergeCell ref="W24:AC24"/>
    <mergeCell ref="AN29:AO29"/>
    <mergeCell ref="AD24:AE24"/>
    <mergeCell ref="AF24:AG24"/>
    <mergeCell ref="BT23:BU23"/>
    <mergeCell ref="BV23:BW23"/>
    <mergeCell ref="BX23:BY23"/>
    <mergeCell ref="AP32:AQ32"/>
    <mergeCell ref="AX25:AY25"/>
    <mergeCell ref="AT31:AU31"/>
    <mergeCell ref="AL31:AM31"/>
    <mergeCell ref="AN31:AO31"/>
    <mergeCell ref="AD31:AE31"/>
    <mergeCell ref="AZ31:BA31"/>
    <mergeCell ref="BR32:BS32"/>
    <mergeCell ref="BT29:BU29"/>
    <mergeCell ref="BV29:BW29"/>
    <mergeCell ref="BX29:BY29"/>
    <mergeCell ref="BP29:BQ29"/>
    <mergeCell ref="AZ30:BA30"/>
    <mergeCell ref="BT31:BU31"/>
    <mergeCell ref="AV23:AW23"/>
    <mergeCell ref="BH24:BK24"/>
    <mergeCell ref="BL24:BM24"/>
    <mergeCell ref="AH25:AI25"/>
    <mergeCell ref="BF25:BG25"/>
    <mergeCell ref="BX32:BY32"/>
    <mergeCell ref="AJ30:AK30"/>
    <mergeCell ref="AJ29:AK29"/>
    <mergeCell ref="AN30:AO30"/>
    <mergeCell ref="AD23:AE23"/>
    <mergeCell ref="AJ32:AK32"/>
    <mergeCell ref="AD26:AE26"/>
    <mergeCell ref="BL31:BM31"/>
    <mergeCell ref="BB24:BC24"/>
    <mergeCell ref="BD24:BE24"/>
    <mergeCell ref="BZ23:CA23"/>
    <mergeCell ref="CB23:CC23"/>
    <mergeCell ref="CD23:CE23"/>
    <mergeCell ref="CF23:CG23"/>
    <mergeCell ref="CH23:CI23"/>
    <mergeCell ref="BR34:BS34"/>
    <mergeCell ref="BT34:BU34"/>
    <mergeCell ref="BD32:BE32"/>
    <mergeCell ref="AZ32:BA32"/>
    <mergeCell ref="BH31:BK31"/>
    <mergeCell ref="BH34:BK34"/>
    <mergeCell ref="BX26:BY26"/>
    <mergeCell ref="BP32:BQ32"/>
    <mergeCell ref="BN32:BO32"/>
    <mergeCell ref="BH35:BK35"/>
    <mergeCell ref="AP23:AQ23"/>
    <mergeCell ref="AV24:AW24"/>
    <mergeCell ref="AX24:AY24"/>
    <mergeCell ref="CF32:CG32"/>
    <mergeCell ref="CB32:CC32"/>
    <mergeCell ref="CH34:CI34"/>
    <mergeCell ref="CD30:CE30"/>
    <mergeCell ref="CF30:CG30"/>
    <mergeCell ref="CD29:CE29"/>
    <mergeCell ref="CF29:CG29"/>
    <mergeCell ref="BB29:BC29"/>
    <mergeCell ref="BF30:BG30"/>
    <mergeCell ref="BL30:BM30"/>
    <mergeCell ref="BN31:BO31"/>
    <mergeCell ref="BD33:BE33"/>
    <mergeCell ref="BF33:BG33"/>
    <mergeCell ref="BH33:BK33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U39"/>
    <mergeCell ref="W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U40"/>
    <mergeCell ref="A41:B42"/>
    <mergeCell ref="C41:N42"/>
    <mergeCell ref="O41:R42"/>
    <mergeCell ref="S41:V42"/>
    <mergeCell ref="W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U41"/>
    <mergeCell ref="W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K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U42"/>
    <mergeCell ref="A47:B48"/>
    <mergeCell ref="C47:N48"/>
    <mergeCell ref="O47:R48"/>
    <mergeCell ref="S47:V48"/>
    <mergeCell ref="W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U47"/>
    <mergeCell ref="W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K48"/>
    <mergeCell ref="BL48:BM48"/>
    <mergeCell ref="BN48:BO48"/>
    <mergeCell ref="BP48:BQ48"/>
    <mergeCell ref="BR48:BS48"/>
    <mergeCell ref="BT48:BU48"/>
    <mergeCell ref="BV48:BW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U48"/>
    <mergeCell ref="A49:B50"/>
    <mergeCell ref="C49:N50"/>
    <mergeCell ref="O49:R50"/>
    <mergeCell ref="S49:V50"/>
    <mergeCell ref="W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K49"/>
    <mergeCell ref="BL49:BM49"/>
    <mergeCell ref="BN49:BO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U49"/>
    <mergeCell ref="W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K50"/>
    <mergeCell ref="BL50:BM50"/>
    <mergeCell ref="CN50:CO50"/>
    <mergeCell ref="CP50:CQ50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CJ51:CK51"/>
    <mergeCell ref="CL51:CM51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R50:CU50"/>
    <mergeCell ref="BX52:BY52"/>
    <mergeCell ref="BZ52:CA52"/>
    <mergeCell ref="CB52:CC52"/>
    <mergeCell ref="CD52:CE52"/>
    <mergeCell ref="CF52:CG52"/>
    <mergeCell ref="CH52:CI52"/>
    <mergeCell ref="BD51:BE51"/>
    <mergeCell ref="BF51:BG51"/>
    <mergeCell ref="BH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BP61:BQ61"/>
    <mergeCell ref="BR61:BS61"/>
    <mergeCell ref="BT61:BU61"/>
    <mergeCell ref="BV61:BW61"/>
    <mergeCell ref="CN51:CO51"/>
    <mergeCell ref="CP51:CQ51"/>
    <mergeCell ref="CR51:CU51"/>
    <mergeCell ref="W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K52"/>
    <mergeCell ref="BL52:BM52"/>
    <mergeCell ref="BN52:BO52"/>
    <mergeCell ref="BP52:BQ52"/>
    <mergeCell ref="BR52:BS52"/>
    <mergeCell ref="BT52:BU52"/>
    <mergeCell ref="BV52:BW52"/>
    <mergeCell ref="W51:AC51"/>
    <mergeCell ref="AD51:AE51"/>
    <mergeCell ref="BP62:BQ62"/>
    <mergeCell ref="BR62:BS62"/>
    <mergeCell ref="BT62:BU62"/>
    <mergeCell ref="BV62:BW62"/>
    <mergeCell ref="CJ52:CK52"/>
    <mergeCell ref="CL52:CM52"/>
    <mergeCell ref="CN52:CO52"/>
    <mergeCell ref="CP52:CQ52"/>
    <mergeCell ref="CR52:CU52"/>
    <mergeCell ref="A61:B62"/>
    <mergeCell ref="C61:N62"/>
    <mergeCell ref="O61:R62"/>
    <mergeCell ref="S61:V62"/>
    <mergeCell ref="W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K61"/>
    <mergeCell ref="W62:AC62"/>
    <mergeCell ref="AD62:AE62"/>
    <mergeCell ref="CH62:CI62"/>
    <mergeCell ref="CJ62:CK62"/>
    <mergeCell ref="CL62:CM62"/>
    <mergeCell ref="CN62:CO62"/>
    <mergeCell ref="CP62:CQ62"/>
    <mergeCell ref="CR62:CU62"/>
    <mergeCell ref="CB61:CC61"/>
    <mergeCell ref="CD61:CE61"/>
    <mergeCell ref="CF61:CG61"/>
    <mergeCell ref="CH61:CI61"/>
    <mergeCell ref="CJ61:CK61"/>
    <mergeCell ref="CL61:CM61"/>
    <mergeCell ref="CN61:CO61"/>
    <mergeCell ref="CP61:CQ61"/>
    <mergeCell ref="CR61:CU61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K62"/>
    <mergeCell ref="BX62:BY62"/>
    <mergeCell ref="BZ62:CA62"/>
    <mergeCell ref="CB62:CC62"/>
    <mergeCell ref="CD62:CE62"/>
    <mergeCell ref="CF62:CG62"/>
  </mergeCells>
  <phoneticPr fontId="6" type="noConversion"/>
  <pageMargins left="0.39374999999999999" right="0.39374999999999999" top="0.39374999999999999" bottom="0.39374999999999999" header="0.51180555555555496" footer="0.51180555555555496"/>
  <pageSetup paperSize="9" scale="90" firstPageNumber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garant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</dc:creator>
  <dc:description/>
  <cp:lastModifiedBy>admin</cp:lastModifiedBy>
  <cp:revision>1</cp:revision>
  <cp:lastPrinted>2025-11-11T14:03:25Z</cp:lastPrinted>
  <dcterms:created xsi:type="dcterms:W3CDTF">2020-12-24T10:42:12Z</dcterms:created>
  <dcterms:modified xsi:type="dcterms:W3CDTF">2025-11-11T14:03:34Z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garant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